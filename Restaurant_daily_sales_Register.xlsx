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tamiz\Desktop\VistaTech Excel\"/>
    </mc:Choice>
  </mc:AlternateContent>
  <xr:revisionPtr revIDLastSave="0" documentId="13_ncr:1_{9F80AF97-F254-49F8-8198-69CBAD815776}" xr6:coauthVersionLast="47" xr6:coauthVersionMax="47" xr10:uidLastSave="{00000000-0000-0000-0000-000000000000}"/>
  <bookViews>
    <workbookView xWindow="-108" yWindow="-108" windowWidth="23256" windowHeight="13896" activeTab="2" xr2:uid="{4F80A24A-4A07-422E-B9E8-91350CE0C090}"/>
  </bookViews>
  <sheets>
    <sheet name="Sales Register" sheetId="1" r:id="rId1"/>
    <sheet name="Daily Summary" sheetId="2" r:id="rId2"/>
    <sheet name="Sales Dashboard" sheetId="4" r:id="rId3"/>
  </sheets>
  <definedNames>
    <definedName name="Slicer_Category">#N/A</definedName>
    <definedName name="Slicer_Payment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2" l="1"/>
  <c r="J8" i="2"/>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3" i="1"/>
  <c r="F4" i="2"/>
  <c r="F7" i="2"/>
  <c r="F8" i="2"/>
  <c r="F9" i="2"/>
  <c r="F14" i="2"/>
  <c r="F16" i="2"/>
  <c r="F20" i="2"/>
  <c r="F23" i="2"/>
  <c r="F24" i="2"/>
  <c r="F27" i="2"/>
  <c r="F28" i="2"/>
  <c r="F29" i="2"/>
  <c r="F3" i="2"/>
  <c r="H4" i="1"/>
  <c r="H5" i="1"/>
  <c r="H6" i="1"/>
  <c r="H7" i="1"/>
  <c r="H8" i="1"/>
  <c r="H9" i="1"/>
  <c r="H10" i="1"/>
  <c r="H11" i="1"/>
  <c r="H12" i="1"/>
  <c r="H13" i="1"/>
  <c r="H14" i="1"/>
  <c r="H15" i="1"/>
  <c r="F5" i="2" s="1"/>
  <c r="H16" i="1"/>
  <c r="H17" i="1"/>
  <c r="H18" i="1"/>
  <c r="H19" i="1"/>
  <c r="H20" i="1"/>
  <c r="H21" i="1"/>
  <c r="H22" i="1"/>
  <c r="H23" i="1"/>
  <c r="F6" i="2" s="1"/>
  <c r="H24" i="1"/>
  <c r="H25" i="1"/>
  <c r="H26" i="1"/>
  <c r="H27" i="1"/>
  <c r="H28" i="1"/>
  <c r="H29" i="1"/>
  <c r="H30" i="1"/>
  <c r="H31" i="1"/>
  <c r="H32" i="1"/>
  <c r="H33" i="1"/>
  <c r="H34" i="1"/>
  <c r="H35" i="1"/>
  <c r="H36" i="1"/>
  <c r="H37" i="1"/>
  <c r="H38" i="1"/>
  <c r="H39" i="1"/>
  <c r="H40" i="1"/>
  <c r="H41" i="1"/>
  <c r="H42" i="1"/>
  <c r="H43" i="1"/>
  <c r="H44" i="1"/>
  <c r="H45" i="1"/>
  <c r="F10" i="2" s="1"/>
  <c r="H46" i="1"/>
  <c r="H47" i="1"/>
  <c r="H48" i="1"/>
  <c r="H49" i="1"/>
  <c r="H50" i="1"/>
  <c r="H51" i="1"/>
  <c r="H52" i="1"/>
  <c r="H53" i="1"/>
  <c r="H54" i="1"/>
  <c r="H55" i="1"/>
  <c r="H56" i="1"/>
  <c r="H57" i="1"/>
  <c r="H58" i="1"/>
  <c r="H59" i="1"/>
  <c r="F12" i="2" s="1"/>
  <c r="H60" i="1"/>
  <c r="H61" i="1"/>
  <c r="H62" i="1"/>
  <c r="H63" i="1"/>
  <c r="F13" i="2" s="1"/>
  <c r="H64" i="1"/>
  <c r="H65" i="1"/>
  <c r="H66" i="1"/>
  <c r="H67" i="1"/>
  <c r="H68" i="1"/>
  <c r="H69" i="1"/>
  <c r="H70" i="1"/>
  <c r="H71" i="1"/>
  <c r="H72" i="1"/>
  <c r="H73" i="1"/>
  <c r="F15" i="2" s="1"/>
  <c r="H74" i="1"/>
  <c r="H75" i="1"/>
  <c r="H76" i="1"/>
  <c r="H77" i="1"/>
  <c r="H78" i="1"/>
  <c r="H79" i="1"/>
  <c r="H80" i="1"/>
  <c r="F17" i="2" s="1"/>
  <c r="H81" i="1"/>
  <c r="H82" i="1"/>
  <c r="H83" i="1"/>
  <c r="H84" i="1"/>
  <c r="H85" i="1"/>
  <c r="H86" i="1"/>
  <c r="H87" i="1"/>
  <c r="H88" i="1"/>
  <c r="F18" i="2" s="1"/>
  <c r="H89" i="1"/>
  <c r="H90" i="1"/>
  <c r="H91" i="1"/>
  <c r="H92" i="1"/>
  <c r="H93" i="1"/>
  <c r="H94" i="1"/>
  <c r="F19" i="2" s="1"/>
  <c r="H95" i="1"/>
  <c r="H96" i="1"/>
  <c r="H97" i="1"/>
  <c r="H98" i="1"/>
  <c r="H99" i="1"/>
  <c r="H100" i="1"/>
  <c r="H101" i="1"/>
  <c r="H102" i="1"/>
  <c r="H103" i="1"/>
  <c r="H104" i="1"/>
  <c r="H105" i="1"/>
  <c r="H106" i="1"/>
  <c r="H107" i="1"/>
  <c r="F22" i="2" s="1"/>
  <c r="H108" i="1"/>
  <c r="H109" i="1"/>
  <c r="H110" i="1"/>
  <c r="H111" i="1"/>
  <c r="H112" i="1"/>
  <c r="H113" i="1"/>
  <c r="H114" i="1"/>
  <c r="H115" i="1"/>
  <c r="H116" i="1"/>
  <c r="H117" i="1"/>
  <c r="H118" i="1"/>
  <c r="H119" i="1"/>
  <c r="H120" i="1"/>
  <c r="H121" i="1"/>
  <c r="H122" i="1"/>
  <c r="H123" i="1"/>
  <c r="H124" i="1"/>
  <c r="F25" i="2" s="1"/>
  <c r="H125" i="1"/>
  <c r="H126" i="1"/>
  <c r="H127" i="1"/>
  <c r="H128" i="1"/>
  <c r="F26" i="2" s="1"/>
  <c r="H129" i="1"/>
  <c r="H130" i="1"/>
  <c r="H131" i="1"/>
  <c r="H132" i="1"/>
  <c r="H133" i="1"/>
  <c r="H134" i="1"/>
  <c r="H135" i="1"/>
  <c r="H136" i="1"/>
  <c r="H137" i="1"/>
  <c r="H138" i="1"/>
  <c r="H139" i="1"/>
  <c r="H140" i="1"/>
  <c r="H141" i="1"/>
  <c r="H142" i="1"/>
  <c r="H143" i="1"/>
  <c r="H144" i="1"/>
  <c r="H145" i="1"/>
  <c r="H146" i="1"/>
  <c r="F30" i="2" s="1"/>
  <c r="H147" i="1"/>
  <c r="H148" i="1"/>
  <c r="H149" i="1"/>
  <c r="H150" i="1"/>
  <c r="H151" i="1"/>
  <c r="H152" i="1"/>
  <c r="H153" i="1"/>
  <c r="H154" i="1"/>
  <c r="F31" i="2" s="1"/>
  <c r="H155" i="1"/>
  <c r="H156" i="1"/>
  <c r="H157" i="1"/>
  <c r="H158" i="1"/>
  <c r="H159" i="1"/>
  <c r="F32" i="2" s="1"/>
  <c r="H160" i="1"/>
  <c r="H161" i="1"/>
  <c r="H3" i="1"/>
  <c r="B7" i="2"/>
  <c r="E7" i="2" s="1"/>
  <c r="B8" i="2"/>
  <c r="E8" i="2" s="1"/>
  <c r="B9" i="2"/>
  <c r="E9" i="2" s="1"/>
  <c r="B14" i="2"/>
  <c r="D14" i="2" s="1"/>
  <c r="B16" i="2"/>
  <c r="E16" i="2" s="1"/>
  <c r="B18" i="2"/>
  <c r="E18" i="2" s="1"/>
  <c r="B19" i="2"/>
  <c r="E19" i="2" s="1"/>
  <c r="B20" i="2"/>
  <c r="E20" i="2" s="1"/>
  <c r="B23" i="2"/>
  <c r="D23" i="2" s="1"/>
  <c r="B24" i="2"/>
  <c r="D24" i="2" s="1"/>
  <c r="B27" i="2"/>
  <c r="D27" i="2" s="1"/>
  <c r="B28" i="2"/>
  <c r="E28" i="2" s="1"/>
  <c r="B29" i="2"/>
  <c r="E29" i="2" s="1"/>
  <c r="F3" i="1"/>
  <c r="F4" i="1"/>
  <c r="F5" i="1"/>
  <c r="F6" i="1"/>
  <c r="F7" i="1"/>
  <c r="F8" i="1"/>
  <c r="F9" i="1"/>
  <c r="F10" i="1"/>
  <c r="F11" i="1"/>
  <c r="F12" i="1"/>
  <c r="F13" i="1"/>
  <c r="F14" i="1"/>
  <c r="B4" i="2" s="1"/>
  <c r="E4" i="2" s="1"/>
  <c r="F15" i="1"/>
  <c r="F16" i="1"/>
  <c r="F17" i="1"/>
  <c r="F18" i="1"/>
  <c r="F19" i="1"/>
  <c r="F20" i="1"/>
  <c r="F21" i="1"/>
  <c r="F22" i="1"/>
  <c r="F23" i="1"/>
  <c r="B6" i="2" s="1"/>
  <c r="E6" i="2" s="1"/>
  <c r="F24" i="1"/>
  <c r="F25" i="1"/>
  <c r="F26" i="1"/>
  <c r="F27" i="1"/>
  <c r="F28" i="1"/>
  <c r="F29" i="1"/>
  <c r="F30" i="1"/>
  <c r="F31" i="1"/>
  <c r="F32" i="1"/>
  <c r="F33" i="1"/>
  <c r="F34" i="1"/>
  <c r="F35" i="1"/>
  <c r="F36" i="1"/>
  <c r="F37" i="1"/>
  <c r="F38" i="1"/>
  <c r="F39" i="1"/>
  <c r="F40" i="1"/>
  <c r="F41" i="1"/>
  <c r="F42" i="1"/>
  <c r="F43" i="1"/>
  <c r="F44" i="1"/>
  <c r="F45" i="1"/>
  <c r="B10" i="2" s="1"/>
  <c r="D10" i="2" s="1"/>
  <c r="F46" i="1"/>
  <c r="F47" i="1"/>
  <c r="F48" i="1"/>
  <c r="F49" i="1"/>
  <c r="F50" i="1"/>
  <c r="F51" i="1"/>
  <c r="F52" i="1"/>
  <c r="F53" i="1"/>
  <c r="F54" i="1"/>
  <c r="B11" i="2" s="1"/>
  <c r="D11" i="2" s="1"/>
  <c r="F55" i="1"/>
  <c r="F56" i="1"/>
  <c r="B12" i="2" s="1"/>
  <c r="D12" i="2" s="1"/>
  <c r="F57" i="1"/>
  <c r="F58" i="1"/>
  <c r="F59" i="1"/>
  <c r="F60" i="1"/>
  <c r="F61" i="1"/>
  <c r="F62" i="1"/>
  <c r="F63" i="1"/>
  <c r="B13" i="2" s="1"/>
  <c r="D13" i="2" s="1"/>
  <c r="F64" i="1"/>
  <c r="F65" i="1"/>
  <c r="F66" i="1"/>
  <c r="F67" i="1"/>
  <c r="F68" i="1"/>
  <c r="F69" i="1"/>
  <c r="F70" i="1"/>
  <c r="F71" i="1"/>
  <c r="F72" i="1"/>
  <c r="F73" i="1"/>
  <c r="F74" i="1"/>
  <c r="F75" i="1"/>
  <c r="F76" i="1"/>
  <c r="F77" i="1"/>
  <c r="F78" i="1"/>
  <c r="F79" i="1"/>
  <c r="F80" i="1"/>
  <c r="B17" i="2" s="1"/>
  <c r="E17" i="2" s="1"/>
  <c r="F81" i="1"/>
  <c r="F82" i="1"/>
  <c r="F83" i="1"/>
  <c r="F84" i="1"/>
  <c r="F85" i="1"/>
  <c r="F86" i="1"/>
  <c r="F87" i="1"/>
  <c r="F88" i="1"/>
  <c r="F89" i="1"/>
  <c r="F90" i="1"/>
  <c r="F91" i="1"/>
  <c r="F92" i="1"/>
  <c r="F93" i="1"/>
  <c r="F94" i="1"/>
  <c r="F95" i="1"/>
  <c r="F96" i="1"/>
  <c r="F97" i="1"/>
  <c r="F98" i="1"/>
  <c r="F99" i="1"/>
  <c r="B21" i="2" s="1"/>
  <c r="E21" i="2" s="1"/>
  <c r="F100" i="1"/>
  <c r="F101" i="1"/>
  <c r="F102" i="1"/>
  <c r="F103" i="1"/>
  <c r="F104" i="1"/>
  <c r="F105" i="1"/>
  <c r="F106" i="1"/>
  <c r="F107" i="1"/>
  <c r="B22" i="2" s="1"/>
  <c r="D22" i="2" s="1"/>
  <c r="F108" i="1"/>
  <c r="F109" i="1"/>
  <c r="F110" i="1"/>
  <c r="F111" i="1"/>
  <c r="F112" i="1"/>
  <c r="F113" i="1"/>
  <c r="F114" i="1"/>
  <c r="F115" i="1"/>
  <c r="F116" i="1"/>
  <c r="F117" i="1"/>
  <c r="F118" i="1"/>
  <c r="F119" i="1"/>
  <c r="F120" i="1"/>
  <c r="F121" i="1"/>
  <c r="F122" i="1"/>
  <c r="F123" i="1"/>
  <c r="F124" i="1"/>
  <c r="B25" i="2" s="1"/>
  <c r="D25" i="2" s="1"/>
  <c r="F125" i="1"/>
  <c r="F126" i="1"/>
  <c r="F127" i="1"/>
  <c r="F128" i="1"/>
  <c r="F129" i="1"/>
  <c r="F130" i="1"/>
  <c r="F131" i="1"/>
  <c r="F132" i="1"/>
  <c r="F133" i="1"/>
  <c r="F134" i="1"/>
  <c r="F135" i="1"/>
  <c r="F136" i="1"/>
  <c r="F137" i="1"/>
  <c r="F138" i="1"/>
  <c r="F139" i="1"/>
  <c r="F140" i="1"/>
  <c r="F141" i="1"/>
  <c r="F142" i="1"/>
  <c r="F143" i="1"/>
  <c r="F144" i="1"/>
  <c r="F145" i="1"/>
  <c r="F146" i="1"/>
  <c r="B30" i="2" s="1"/>
  <c r="E30" i="2" s="1"/>
  <c r="F147" i="1"/>
  <c r="F148" i="1"/>
  <c r="F149" i="1"/>
  <c r="F150" i="1"/>
  <c r="F151" i="1"/>
  <c r="F152" i="1"/>
  <c r="F153" i="1"/>
  <c r="F154" i="1"/>
  <c r="F155" i="1"/>
  <c r="F156" i="1"/>
  <c r="F157" i="1"/>
  <c r="F158" i="1"/>
  <c r="F159" i="1"/>
  <c r="B32" i="2" s="1"/>
  <c r="E32" i="2" s="1"/>
  <c r="F160" i="1"/>
  <c r="F161" i="1"/>
  <c r="B5" i="2" l="1"/>
  <c r="E5" i="2" s="1"/>
  <c r="B26" i="2"/>
  <c r="D26" i="2" s="1"/>
  <c r="B31" i="2"/>
  <c r="E31" i="2" s="1"/>
  <c r="F21" i="2"/>
  <c r="B15" i="2"/>
  <c r="D15" i="2" s="1"/>
  <c r="F11" i="2"/>
  <c r="B3" i="2"/>
  <c r="D21" i="2"/>
  <c r="D19" i="2"/>
  <c r="D9" i="2"/>
  <c r="D7" i="2"/>
  <c r="E25" i="2"/>
  <c r="D32" i="2"/>
  <c r="D20" i="2"/>
  <c r="D8" i="2"/>
  <c r="E14" i="2"/>
  <c r="E27" i="2"/>
  <c r="E13" i="2"/>
  <c r="D30" i="2"/>
  <c r="D18" i="2"/>
  <c r="D6" i="2"/>
  <c r="E24" i="2"/>
  <c r="E12" i="2"/>
  <c r="D29" i="2"/>
  <c r="D17" i="2"/>
  <c r="E23" i="2"/>
  <c r="E11" i="2"/>
  <c r="D28" i="2"/>
  <c r="D16" i="2"/>
  <c r="D4" i="2"/>
  <c r="E22" i="2"/>
  <c r="E10" i="2"/>
  <c r="D5" i="2" l="1"/>
  <c r="E26" i="2"/>
  <c r="D31" i="2"/>
  <c r="G26" i="2"/>
  <c r="E15" i="2"/>
  <c r="G11" i="2"/>
  <c r="G22" i="2"/>
  <c r="G18" i="2"/>
  <c r="G7" i="2"/>
  <c r="G6" i="2"/>
  <c r="G23" i="2"/>
  <c r="G24" i="2"/>
  <c r="G13" i="2"/>
  <c r="G12" i="2"/>
  <c r="G19" i="2"/>
  <c r="G16" i="2"/>
  <c r="G20" i="2"/>
  <c r="G25" i="2"/>
  <c r="G8" i="2"/>
  <c r="G28" i="2"/>
  <c r="G14" i="2"/>
  <c r="G31" i="2"/>
  <c r="G4" i="2"/>
  <c r="G9" i="2"/>
  <c r="E3" i="2"/>
  <c r="J7" i="2"/>
  <c r="J6" i="2"/>
  <c r="G17" i="2"/>
  <c r="G21" i="2"/>
  <c r="G27" i="2"/>
  <c r="G30" i="2"/>
  <c r="G32" i="2"/>
  <c r="G5" i="2"/>
  <c r="G29" i="2"/>
  <c r="G10" i="2"/>
  <c r="G15" i="2"/>
  <c r="D3" i="2"/>
  <c r="J10" i="2" l="1"/>
  <c r="J9" i="2"/>
</calcChain>
</file>

<file path=xl/sharedStrings.xml><?xml version="1.0" encoding="utf-8"?>
<sst xmlns="http://schemas.openxmlformats.org/spreadsheetml/2006/main" count="528" uniqueCount="47">
  <si>
    <t>Date</t>
  </si>
  <si>
    <t xml:space="preserve">Menu Item </t>
  </si>
  <si>
    <t>Category</t>
  </si>
  <si>
    <t>Quantity Sold</t>
  </si>
  <si>
    <t>Unit Price (₹)</t>
  </si>
  <si>
    <t>Total Sales (₹)</t>
  </si>
  <si>
    <t>Payment Mode</t>
  </si>
  <si>
    <t>Chicken Biryani</t>
  </si>
  <si>
    <t>Food</t>
  </si>
  <si>
    <t>Card</t>
  </si>
  <si>
    <t>UPI</t>
  </si>
  <si>
    <t>Fresh Lime Juice</t>
  </si>
  <si>
    <t>Beverages</t>
  </si>
  <si>
    <t>Cash</t>
  </si>
  <si>
    <t>Paneer Wrap</t>
  </si>
  <si>
    <t>Veg Biryani</t>
  </si>
  <si>
    <t>Margherita Pizza</t>
  </si>
  <si>
    <t>French Fries</t>
  </si>
  <si>
    <t>Cheese Burger</t>
  </si>
  <si>
    <t>Cold Coffee</t>
  </si>
  <si>
    <t>Ice Cream</t>
  </si>
  <si>
    <t>Desserts</t>
  </si>
  <si>
    <t>Masala Tea</t>
  </si>
  <si>
    <t>Mineral Water</t>
  </si>
  <si>
    <t>Chocolate Cake</t>
  </si>
  <si>
    <t>Restaurant Daily Sales Register - Sales Data</t>
  </si>
  <si>
    <t>Daily Summary - Aggregated View</t>
  </si>
  <si>
    <t>Row Labels</t>
  </si>
  <si>
    <t>Grand Total</t>
  </si>
  <si>
    <t>Sum of Total Sales (₹)</t>
  </si>
  <si>
    <t>Daily Target (₹)</t>
  </si>
  <si>
    <t>Target Status</t>
  </si>
  <si>
    <t>Sales Level</t>
  </si>
  <si>
    <t xml:space="preserve">Discount Eligible Items </t>
  </si>
  <si>
    <t>Payment Mode Check</t>
  </si>
  <si>
    <t>Peak Day Alert</t>
  </si>
  <si>
    <t>Tables</t>
  </si>
  <si>
    <t>Key Insights</t>
  </si>
  <si>
    <t>Total Revenue</t>
  </si>
  <si>
    <t>Average Daily Sales</t>
  </si>
  <si>
    <t>Total Orders</t>
  </si>
  <si>
    <t>Days Target Met</t>
  </si>
  <si>
    <t>Target Achievement Rate</t>
  </si>
  <si>
    <t xml:space="preserve"> </t>
  </si>
  <si>
    <t xml:space="preserve">  </t>
  </si>
  <si>
    <t xml:space="preserve">Discount Eligibility  </t>
  </si>
  <si>
    <t>RESTAURANT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</si>
</sst>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quot;₹&quot;#,##0"/>
    <numFmt numFmtId="166" formatCode="_ [$₹-4009]\ * #,##0.00_ ;_ [$₹-4009]\ * \-#,##0.00_ ;_ [$₹-4009]\ * &quot;-&quot;??_ ;_ @_ "/>
    <numFmt numFmtId="167" formatCode="[$₹-4009]\ #,##0.00"/>
    <numFmt numFmtId="168" formatCode="dd\-mm\-yyyy"/>
    <numFmt numFmtId="169" formatCode="[$₹-4009]\ #,##0"/>
  </numFmts>
  <fonts count="11" x14ac:knownFonts="1">
    <font>
      <sz val="11"/>
      <color theme="1"/>
      <name val="Calibri"/>
      <family val="2"/>
      <scheme val="minor"/>
    </font>
    <font>
      <b/>
      <sz val="16"/>
      <color theme="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b/>
      <sz val="20"/>
      <color theme="0"/>
      <name val="Calibri"/>
      <family val="2"/>
      <scheme val="minor"/>
    </font>
    <font>
      <b/>
      <sz val="16"/>
      <color theme="1"/>
      <name val="Calibri"/>
      <family val="2"/>
      <scheme val="minor"/>
    </font>
    <font>
      <b/>
      <sz val="14"/>
      <color rgb="FF002060"/>
      <name val="Calibri"/>
      <family val="2"/>
      <scheme val="minor"/>
    </font>
    <font>
      <sz val="11"/>
      <color theme="1"/>
      <name val="Calibri"/>
      <family val="2"/>
      <scheme val="minor"/>
    </font>
    <font>
      <b/>
      <sz val="14"/>
      <color theme="0"/>
      <name val="Calibri"/>
      <family val="2"/>
      <scheme val="minor"/>
    </font>
    <font>
      <i/>
      <sz val="11"/>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002060"/>
      </left>
      <right/>
      <top style="medium">
        <color rgb="FF002060"/>
      </top>
      <bottom/>
      <diagonal/>
    </border>
    <border>
      <left/>
      <right style="medium">
        <color rgb="FF002060"/>
      </right>
      <top style="medium">
        <color rgb="FF002060"/>
      </top>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diagonal/>
    </border>
    <border>
      <left style="thin">
        <color rgb="FF002060"/>
      </left>
      <right style="thin">
        <color rgb="FF002060"/>
      </right>
      <top/>
      <bottom/>
      <diagonal/>
    </border>
    <border>
      <left style="thin">
        <color rgb="FF002060"/>
      </left>
      <right style="thin">
        <color rgb="FF002060"/>
      </right>
      <top/>
      <bottom style="thin">
        <color rgb="FF002060"/>
      </bottom>
      <diagonal/>
    </border>
    <border>
      <left style="medium">
        <color rgb="FF002060"/>
      </left>
      <right style="thin">
        <color rgb="FF002060"/>
      </right>
      <top/>
      <bottom/>
      <diagonal/>
    </border>
    <border>
      <left style="thin">
        <color rgb="FF002060"/>
      </left>
      <right style="medium">
        <color rgb="FF002060"/>
      </right>
      <top/>
      <bottom/>
      <diagonal/>
    </border>
    <border>
      <left style="medium">
        <color rgb="FF002060"/>
      </left>
      <right style="thin">
        <color rgb="FF002060"/>
      </right>
      <top/>
      <bottom style="medium">
        <color rgb="FF002060"/>
      </bottom>
      <diagonal/>
    </border>
    <border>
      <left style="thin">
        <color rgb="FF002060"/>
      </left>
      <right style="medium">
        <color rgb="FF002060"/>
      </right>
      <top/>
      <bottom style="medium">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s>
  <cellStyleXfs count="2">
    <xf numFmtId="0" fontId="0" fillId="0" borderId="0"/>
    <xf numFmtId="9" fontId="8" fillId="0" borderId="0" applyFont="0" applyFill="0" applyBorder="0" applyAlignment="0" applyProtection="0"/>
  </cellStyleXfs>
  <cellXfs count="50">
    <xf numFmtId="0" fontId="0" fillId="0" borderId="0" xfId="0"/>
    <xf numFmtId="0" fontId="4" fillId="3" borderId="1" xfId="0" applyFont="1" applyFill="1" applyBorder="1" applyAlignment="1">
      <alignment horizontal="center"/>
    </xf>
    <xf numFmtId="0" fontId="3" fillId="3" borderId="1" xfId="0" applyFont="1" applyFill="1" applyBorder="1" applyAlignment="1">
      <alignment horizontal="center"/>
    </xf>
    <xf numFmtId="164" fontId="0" fillId="0" borderId="0" xfId="0" applyNumberFormat="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Alignment="1">
      <alignment horizontal="center"/>
    </xf>
    <xf numFmtId="0" fontId="0" fillId="2" borderId="0" xfId="0" applyFill="1"/>
    <xf numFmtId="166" fontId="4" fillId="3" borderId="1" xfId="0" applyNumberFormat="1" applyFont="1" applyFill="1" applyBorder="1" applyAlignment="1">
      <alignment horizontal="center"/>
    </xf>
    <xf numFmtId="167" fontId="0" fillId="0" borderId="0" xfId="0" applyNumberFormat="1"/>
    <xf numFmtId="167" fontId="0" fillId="0" borderId="0" xfId="0" applyNumberFormat="1" applyAlignment="1">
      <alignment horizontal="center"/>
    </xf>
    <xf numFmtId="166" fontId="0" fillId="0" borderId="0" xfId="0" applyNumberFormat="1" applyAlignment="1">
      <alignment horizontal="center"/>
    </xf>
    <xf numFmtId="15" fontId="0" fillId="0" borderId="0" xfId="0" applyNumberFormat="1" applyAlignment="1">
      <alignment horizontal="center"/>
    </xf>
    <xf numFmtId="167" fontId="4" fillId="3" borderId="1" xfId="0" applyNumberFormat="1" applyFont="1" applyFill="1" applyBorder="1" applyAlignment="1">
      <alignment horizontal="center"/>
    </xf>
    <xf numFmtId="167" fontId="0" fillId="0" borderId="0" xfId="0" applyNumberFormat="1" applyAlignment="1">
      <alignment horizontal="center" vertical="center"/>
    </xf>
    <xf numFmtId="0" fontId="4" fillId="3" borderId="2"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vertical="center"/>
    </xf>
    <xf numFmtId="167" fontId="0" fillId="0" borderId="1" xfId="0" applyNumberFormat="1" applyBorder="1" applyAlignment="1">
      <alignment horizontal="center"/>
    </xf>
    <xf numFmtId="0" fontId="0" fillId="0" borderId="7" xfId="0" applyBorder="1" applyAlignment="1">
      <alignment horizontal="left"/>
    </xf>
    <xf numFmtId="0" fontId="0" fillId="0" borderId="8" xfId="0" applyBorder="1" applyAlignment="1">
      <alignment horizontal="left"/>
    </xf>
    <xf numFmtId="168" fontId="0" fillId="0" borderId="7" xfId="0" applyNumberFormat="1" applyBorder="1" applyAlignment="1">
      <alignment horizontal="left"/>
    </xf>
    <xf numFmtId="167" fontId="0" fillId="0" borderId="6" xfId="0" applyNumberFormat="1" applyBorder="1"/>
    <xf numFmtId="167" fontId="0" fillId="0" borderId="7" xfId="0" applyNumberFormat="1" applyBorder="1"/>
    <xf numFmtId="167" fontId="0" fillId="0" borderId="8" xfId="0" applyNumberFormat="1" applyBorder="1"/>
    <xf numFmtId="0" fontId="0" fillId="0" borderId="5" xfId="0" pivotButton="1" applyBorder="1"/>
    <xf numFmtId="0" fontId="0" fillId="0" borderId="6" xfId="0" applyBorder="1" applyAlignment="1">
      <alignment horizontal="left"/>
    </xf>
    <xf numFmtId="0" fontId="0" fillId="0" borderId="5" xfId="0" applyBorder="1" applyAlignment="1">
      <alignment horizontal="left"/>
    </xf>
    <xf numFmtId="0" fontId="0" fillId="0" borderId="5" xfId="0" applyBorder="1"/>
    <xf numFmtId="168" fontId="0" fillId="0" borderId="6" xfId="0" applyNumberFormat="1" applyBorder="1" applyAlignment="1">
      <alignment horizontal="left"/>
    </xf>
    <xf numFmtId="168" fontId="0" fillId="0" borderId="8" xfId="0" applyNumberFormat="1" applyBorder="1" applyAlignment="1">
      <alignment horizontal="left"/>
    </xf>
    <xf numFmtId="164" fontId="0" fillId="0" borderId="5" xfId="0" applyNumberFormat="1" applyBorder="1" applyAlignment="1">
      <alignment horizontal="left"/>
    </xf>
    <xf numFmtId="0" fontId="7" fillId="0" borderId="0" xfId="0" applyFont="1" applyAlignment="1">
      <alignment vertical="center"/>
    </xf>
    <xf numFmtId="0" fontId="6" fillId="0" borderId="0" xfId="0" applyFont="1" applyAlignment="1">
      <alignment vertical="center"/>
    </xf>
    <xf numFmtId="0" fontId="10" fillId="0" borderId="1" xfId="0" applyFont="1" applyBorder="1" applyAlignment="1">
      <alignment horizontal="center"/>
    </xf>
    <xf numFmtId="0" fontId="4" fillId="0" borderId="13" xfId="0" applyFont="1" applyBorder="1" applyAlignment="1">
      <alignment vertical="center"/>
    </xf>
    <xf numFmtId="0" fontId="3" fillId="0" borderId="9" xfId="0" applyFont="1" applyBorder="1" applyAlignment="1">
      <alignment vertical="center"/>
    </xf>
    <xf numFmtId="0" fontId="3" fillId="0" borderId="10" xfId="0" applyFont="1" applyBorder="1"/>
    <xf numFmtId="0" fontId="3" fillId="0" borderId="9" xfId="0" applyFont="1" applyBorder="1"/>
    <xf numFmtId="0" fontId="3" fillId="0" borderId="10" xfId="0" applyFont="1" applyBorder="1" applyAlignment="1">
      <alignment horizontal="right"/>
    </xf>
    <xf numFmtId="0" fontId="3" fillId="0" borderId="11" xfId="0" applyFont="1" applyBorder="1"/>
    <xf numFmtId="9" fontId="3" fillId="0" borderId="12" xfId="1" applyFont="1" applyBorder="1"/>
    <xf numFmtId="169" fontId="3" fillId="0" borderId="14" xfId="0" applyNumberFormat="1" applyFont="1" applyBorder="1"/>
    <xf numFmtId="169" fontId="3" fillId="0" borderId="10" xfId="0" applyNumberFormat="1" applyFont="1" applyBorder="1"/>
    <xf numFmtId="0" fontId="1" fillId="2" borderId="0" xfId="0" applyFont="1" applyFill="1" applyAlignment="1">
      <alignment horizontal="left"/>
    </xf>
    <xf numFmtId="0" fontId="2" fillId="2" borderId="0" xfId="0" applyFont="1" applyFill="1" applyAlignment="1">
      <alignment horizontal="left"/>
    </xf>
    <xf numFmtId="0" fontId="9" fillId="4" borderId="3" xfId="0" applyFont="1" applyFill="1" applyBorder="1" applyAlignment="1">
      <alignment horizontal="center"/>
    </xf>
    <xf numFmtId="0" fontId="9" fillId="4" borderId="4" xfId="0" applyFont="1" applyFill="1" applyBorder="1" applyAlignment="1">
      <alignment horizontal="center"/>
    </xf>
    <xf numFmtId="0" fontId="5" fillId="2" borderId="0" xfId="0" applyFont="1" applyFill="1" applyAlignment="1">
      <alignment horizontal="center" vertical="center"/>
    </xf>
    <xf numFmtId="0" fontId="0" fillId="2" borderId="0" xfId="0" applyFill="1" applyAlignment="1">
      <alignment horizontal="center" vertical="center"/>
    </xf>
  </cellXfs>
  <cellStyles count="2">
    <cellStyle name="Normal" xfId="0" builtinId="0"/>
    <cellStyle name="Per cent" xfId="1" builtinId="5"/>
  </cellStyles>
  <dxfs count="273">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numFmt numFmtId="168" formatCode="dd\-mm\-yyyy"/>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numFmt numFmtId="168" formatCode="dd\-mm\-yyyy"/>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numFmt numFmtId="168" formatCode="dd\-mm\-yyyy"/>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numFmt numFmtId="168" formatCode="dd\-mm\-yyyy"/>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numFmt numFmtId="168" formatCode="dd\-mm\-yyyy"/>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numFmt numFmtId="168" formatCode="dd\-mm\-yyyy"/>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font>
        <color rgb="FF9C0006"/>
      </font>
      <fill>
        <patternFill>
          <bgColor rgb="FFFFCDD3"/>
        </patternFill>
      </fill>
    </dxf>
    <dxf>
      <font>
        <color rgb="FF006100"/>
      </font>
      <fill>
        <patternFill>
          <bgColor rgb="FFC6EFCE"/>
        </patternFill>
      </fill>
    </dxf>
    <dxf>
      <fill>
        <patternFill>
          <bgColor theme="7" tint="0.79998168889431442"/>
        </patternFill>
      </fill>
    </dxf>
    <dxf>
      <font>
        <color rgb="FF006100"/>
      </font>
      <fill>
        <patternFill>
          <bgColor rgb="FFC6EFCE"/>
        </patternFill>
      </fill>
    </dxf>
    <dxf>
      <font>
        <color rgb="FF9C0006"/>
      </font>
      <fill>
        <patternFill>
          <bgColor rgb="FFFFCDD3"/>
        </patternFill>
      </fill>
    </dxf>
    <dxf>
      <font>
        <color rgb="FF006100"/>
      </font>
      <fill>
        <patternFill>
          <bgColor rgb="FFC6EFCE"/>
        </patternFill>
      </fill>
    </dxf>
    <dxf>
      <fill>
        <patternFill>
          <bgColor theme="4" tint="0.79998168889431442"/>
        </patternFill>
      </fill>
    </dxf>
    <dxf>
      <fill>
        <patternFill>
          <bgColor theme="9" tint="0.79998168889431442"/>
        </patternFill>
      </fill>
    </dxf>
    <dxf>
      <fill>
        <patternFill>
          <bgColor theme="5" tint="0.79998168889431442"/>
        </patternFill>
      </fill>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numFmt numFmtId="168" formatCode="dd\-mm\-yyyy"/>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right style="thin">
          <color rgb="FF002060"/>
        </right>
      </border>
    </dxf>
    <dxf>
      <border>
        <right style="thin">
          <color rgb="FF002060"/>
        </right>
      </border>
    </dxf>
    <dxf>
      <border>
        <right style="thin">
          <color rgb="FF002060"/>
        </right>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border>
        <left style="thin">
          <color rgb="FF002060"/>
        </left>
        <right style="thin">
          <color rgb="FF002060"/>
        </right>
        <top style="thin">
          <color rgb="FF002060"/>
        </top>
        <bottom style="thin">
          <color rgb="FF002060"/>
        </bottom>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ill>
        <patternFill>
          <bgColor rgb="FF002060"/>
        </patternFill>
      </fill>
    </dxf>
  </dxfs>
  <tableStyles count="3" defaultTableStyle="TableStyleMedium2" defaultPivotStyle="PivotStyleLight16">
    <tableStyle name="Slicer Style 1" pivot="0" table="0" count="1" xr9:uid="{14DCB302-A16C-463F-B290-147EA2F2D82E}">
      <tableStyleElement type="headerRow" dxfId="272"/>
    </tableStyle>
    <tableStyle name="SlicerStyleDark2 2" pivot="0" table="0" count="10" xr9:uid="{826C2036-1C86-4ACB-8EF9-39936A9652D7}">
      <tableStyleElement type="wholeTable" dxfId="271"/>
      <tableStyleElement type="headerRow" dxfId="270"/>
    </tableStyle>
    <tableStyle name="SlicerStyleDark5 2" pivot="0" table="0" count="10" xr9:uid="{FB8F1CCF-D04C-40D6-A227-A6D96B17DC13}">
      <tableStyleElement type="wholeTable" dxfId="269"/>
      <tableStyleElement type="headerRow" dxfId="268"/>
    </tableStyle>
  </tableStyles>
  <colors>
    <mruColors>
      <color rgb="FFB51212"/>
      <color rgb="FFFFAAAA"/>
      <color rgb="FFFFE0E0"/>
      <color rgb="FF854000"/>
      <color rgb="FF08783E"/>
      <color rgb="FF003FAD"/>
      <color rgb="FFFFD66B"/>
      <color rgb="FFFFF1C2"/>
      <color rgb="FF9AE6BD"/>
      <color rgb="FFD9FBE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dotted">
              <color rgb="FF002060"/>
            </left>
            <right style="dotted">
              <color rgb="FF002060"/>
            </right>
            <top style="dotted">
              <color rgb="FF002060"/>
            </top>
            <bottom style="dotted">
              <color rgb="FF00206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0"/>
              <bgColor theme="0"/>
            </patternFill>
          </fill>
          <border>
            <left style="dotted">
              <color theme="1"/>
            </left>
            <right style="dotted">
              <color theme="1"/>
            </right>
            <top style="dotted">
              <color theme="1"/>
            </top>
            <bottom style="dotted">
              <color theme="1"/>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[Restaurant_daily_sales_Register.xlsx]Sales Dashboard!PivotTable5</c:name>
    <c:fmtId val="5"/>
  </c:pivotSource>
  <c:chart>
    <c:title>
      <c:tx>
        <c:rich>
          <a:bodyPr rot="0" spcFirstLastPara="1" vertOverflow="ellipsis" vert="horz" wrap="square" anchor="ctr" anchorCtr="1"/>
          <a:lstStyle/>
          <a:p>
            <a:pPr algn="ct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r>
              <a:rPr lang="en-US" b="1" cap="none" spc="0">
                <a:ln w="0"/>
                <a:solidFill>
                  <a:srgbClr val="002060"/>
                </a:solidFill>
                <a:effectLst>
                  <a:outerShdw blurRad="38100" dist="19050" dir="2700000" algn="tl" rotWithShape="0">
                    <a:schemeClr val="dk1">
                      <a:alpha val="40000"/>
                    </a:schemeClr>
                  </a:outerShdw>
                </a:effectLst>
              </a:rPr>
              <a:t>Revenue by Payment Mode </a:t>
            </a:r>
          </a:p>
        </c:rich>
      </c:tx>
      <c:overlay val="0"/>
      <c:spPr>
        <a:noFill/>
        <a:ln>
          <a:noFill/>
        </a:ln>
        <a:effectLst/>
      </c:spPr>
      <c:txPr>
        <a:bodyPr rot="0" spcFirstLastPara="1" vertOverflow="ellipsis" vert="horz" wrap="square" anchor="ctr" anchorCtr="1"/>
        <a:lstStyle/>
        <a:p>
          <a:pPr algn="ct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rgbClr val="0070C0"/>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chemeClr val="bg2"/>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bg2"/>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solidFill>
              <a:schemeClr val="bg2"/>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2070668445439"/>
          <c:y val="0.23842796301608668"/>
          <c:w val="0.67959492563429569"/>
          <c:h val="0.53774387576552929"/>
        </c:manualLayout>
      </c:layout>
      <c:barChart>
        <c:barDir val="col"/>
        <c:grouping val="clustered"/>
        <c:varyColors val="0"/>
        <c:ser>
          <c:idx val="0"/>
          <c:order val="0"/>
          <c:tx>
            <c:strRef>
              <c:f>'Sales Dashboard'!$E$3</c:f>
              <c:strCache>
                <c:ptCount val="1"/>
                <c:pt idx="0">
                  <c:v>Total</c:v>
                </c:pt>
              </c:strCache>
            </c:strRef>
          </c:tx>
          <c:spPr>
            <a:solidFill>
              <a:srgbClr val="0070C0"/>
            </a:solidFill>
            <a:ln>
              <a:solidFill>
                <a:schemeClr val="bg2"/>
              </a:solidFill>
            </a:ln>
            <a:effectLst/>
          </c:spPr>
          <c:invertIfNegative val="0"/>
          <c:dPt>
            <c:idx val="0"/>
            <c:invertIfNegative val="0"/>
            <c:bubble3D val="0"/>
            <c:spPr>
              <a:solidFill>
                <a:srgbClr val="00B0F0"/>
              </a:solidFill>
              <a:ln>
                <a:solidFill>
                  <a:schemeClr val="bg2"/>
                </a:solidFill>
              </a:ln>
              <a:effectLst/>
            </c:spPr>
            <c:extLst>
              <c:ext xmlns:c16="http://schemas.microsoft.com/office/drawing/2014/chart" uri="{C3380CC4-5D6E-409C-BE32-E72D297353CC}">
                <c16:uniqueId val="{00000004-EC26-48C8-A1CE-724B149C4337}"/>
              </c:ext>
            </c:extLst>
          </c:dPt>
          <c:dPt>
            <c:idx val="1"/>
            <c:invertIfNegative val="0"/>
            <c:bubble3D val="0"/>
            <c:spPr>
              <a:solidFill>
                <a:schemeClr val="accent6">
                  <a:lumMod val="60000"/>
                  <a:lumOff val="40000"/>
                </a:schemeClr>
              </a:solidFill>
              <a:ln>
                <a:solidFill>
                  <a:schemeClr val="bg2"/>
                </a:solidFill>
              </a:ln>
              <a:effectLst/>
            </c:spPr>
            <c:extLst>
              <c:ext xmlns:c16="http://schemas.microsoft.com/office/drawing/2014/chart" uri="{C3380CC4-5D6E-409C-BE32-E72D297353CC}">
                <c16:uniqueId val="{00000003-EC26-48C8-A1CE-724B149C4337}"/>
              </c:ext>
            </c:extLst>
          </c:dPt>
          <c:dPt>
            <c:idx val="2"/>
            <c:invertIfNegative val="0"/>
            <c:bubble3D val="0"/>
            <c:spPr>
              <a:solidFill>
                <a:srgbClr val="FFC000"/>
              </a:solidFill>
              <a:ln>
                <a:solidFill>
                  <a:schemeClr val="bg2"/>
                </a:solidFill>
              </a:ln>
              <a:effectLst/>
            </c:spPr>
            <c:extLst>
              <c:ext xmlns:c16="http://schemas.microsoft.com/office/drawing/2014/chart" uri="{C3380CC4-5D6E-409C-BE32-E72D297353CC}">
                <c16:uniqueId val="{00000002-EC26-48C8-A1CE-724B149C433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26-48C8-A1CE-724B149C433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26-48C8-A1CE-724B149C4337}"/>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26-48C8-A1CE-724B149C4337}"/>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Dashboard'!$D$4:$D$7</c:f>
              <c:strCache>
                <c:ptCount val="3"/>
                <c:pt idx="0">
                  <c:v>Card</c:v>
                </c:pt>
                <c:pt idx="1">
                  <c:v>Cash</c:v>
                </c:pt>
                <c:pt idx="2">
                  <c:v>UPI</c:v>
                </c:pt>
              </c:strCache>
            </c:strRef>
          </c:cat>
          <c:val>
            <c:numRef>
              <c:f>'Sales Dashboard'!$E$4:$E$7</c:f>
              <c:numCache>
                <c:formatCode>[$₹-4009]\ #,##0.00</c:formatCode>
                <c:ptCount val="3"/>
                <c:pt idx="0">
                  <c:v>115780</c:v>
                </c:pt>
                <c:pt idx="1">
                  <c:v>121850</c:v>
                </c:pt>
                <c:pt idx="2">
                  <c:v>175380</c:v>
                </c:pt>
              </c:numCache>
            </c:numRef>
          </c:val>
          <c:extLst>
            <c:ext xmlns:c16="http://schemas.microsoft.com/office/drawing/2014/chart" uri="{C3380CC4-5D6E-409C-BE32-E72D297353CC}">
              <c16:uniqueId val="{00000000-EC26-48C8-A1CE-724B149C4337}"/>
            </c:ext>
          </c:extLst>
        </c:ser>
        <c:dLbls>
          <c:showLegendKey val="0"/>
          <c:showVal val="0"/>
          <c:showCatName val="0"/>
          <c:showSerName val="0"/>
          <c:showPercent val="0"/>
          <c:showBubbleSize val="0"/>
        </c:dLbls>
        <c:gapWidth val="219"/>
        <c:overlap val="-27"/>
        <c:axId val="895453631"/>
        <c:axId val="620498095"/>
      </c:barChart>
      <c:catAx>
        <c:axId val="89545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0498095"/>
        <c:crosses val="autoZero"/>
        <c:auto val="1"/>
        <c:lblAlgn val="ctr"/>
        <c:lblOffset val="100"/>
        <c:noMultiLvlLbl val="0"/>
      </c:catAx>
      <c:valAx>
        <c:axId val="62049809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95453631"/>
        <c:crosses val="autoZero"/>
        <c:crossBetween val="between"/>
      </c:valAx>
      <c:spPr>
        <a:noFill/>
        <a:ln>
          <a:noFill/>
        </a:ln>
        <a:effectLst/>
      </c:spPr>
    </c:plotArea>
    <c:legend>
      <c:legendPos val="tr"/>
      <c:layout>
        <c:manualLayout>
          <c:xMode val="edge"/>
          <c:yMode val="edge"/>
          <c:x val="0.85956779013937956"/>
          <c:y val="0.68201573717016839"/>
          <c:w val="0.12207339536010597"/>
          <c:h val="0.282801935894497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[Restaurant_daily_sales_Register.xlsx]Sales Dashboard!PivotTable12</c:name>
    <c:fmtId val="0"/>
  </c:pivotSource>
  <c:chart>
    <c:title>
      <c:tx>
        <c:rich>
          <a:bodyPr rot="0" spcFirstLastPara="1" vertOverflow="ellipsis" vert="horz" wrap="square" anchor="ctr" anchorCtr="1"/>
          <a:lstStyle/>
          <a:p>
            <a:pP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r>
              <a:rPr lang="en-US" b="1" cap="none" spc="0">
                <a:ln w="0"/>
                <a:solidFill>
                  <a:srgbClr val="002060"/>
                </a:solidFill>
                <a:effectLst>
                  <a:outerShdw blurRad="38100" dist="19050" dir="2700000" algn="tl" rotWithShape="0">
                    <a:schemeClr val="dk1">
                      <a:alpha val="40000"/>
                    </a:schemeClr>
                  </a:outerShdw>
                </a:effectLst>
              </a:rPr>
              <a:t>Daily Sales Trend</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'Sales Dashboard'!$B$10</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2194-432E-BE17-33910E910AE9}"/>
              </c:ext>
            </c:extLst>
          </c:dPt>
          <c:cat>
            <c:strRef>
              <c:f>'Sales Dashboard'!$A$11:$A$41</c:f>
              <c:strCache>
                <c:ptCount val="30"/>
                <c:pt idx="0">
                  <c:v>01-Oct-2026</c:v>
                </c:pt>
                <c:pt idx="1">
                  <c:v>02-Oct-2026</c:v>
                </c:pt>
                <c:pt idx="2">
                  <c:v>03-Oct-2026</c:v>
                </c:pt>
                <c:pt idx="3">
                  <c:v>04-Oct-2026</c:v>
                </c:pt>
                <c:pt idx="4">
                  <c:v>05-Oct-2026</c:v>
                </c:pt>
                <c:pt idx="5">
                  <c:v>06-Oct-2026</c:v>
                </c:pt>
                <c:pt idx="6">
                  <c:v>07-Oct-2026</c:v>
                </c:pt>
                <c:pt idx="7">
                  <c:v>08-Oct-2026</c:v>
                </c:pt>
                <c:pt idx="8">
                  <c:v>09-Oct-2026</c:v>
                </c:pt>
                <c:pt idx="9">
                  <c:v>10-Oct-2026</c:v>
                </c:pt>
                <c:pt idx="10">
                  <c:v>11-Oct-2026</c:v>
                </c:pt>
                <c:pt idx="11">
                  <c:v>12-Oct-2026</c:v>
                </c:pt>
                <c:pt idx="12">
                  <c:v>13-Oct-2026</c:v>
                </c:pt>
                <c:pt idx="13">
                  <c:v>14-Oct-2026</c:v>
                </c:pt>
                <c:pt idx="14">
                  <c:v>15-Oct-2026</c:v>
                </c:pt>
                <c:pt idx="15">
                  <c:v>16-Oct-2026</c:v>
                </c:pt>
                <c:pt idx="16">
                  <c:v>17-Oct-2026</c:v>
                </c:pt>
                <c:pt idx="17">
                  <c:v>18-Oct-2026</c:v>
                </c:pt>
                <c:pt idx="18">
                  <c:v>19-Oct-2026</c:v>
                </c:pt>
                <c:pt idx="19">
                  <c:v>20-Oct-2026</c:v>
                </c:pt>
                <c:pt idx="20">
                  <c:v>21-Oct-2026</c:v>
                </c:pt>
                <c:pt idx="21">
                  <c:v>22-Oct-2026</c:v>
                </c:pt>
                <c:pt idx="22">
                  <c:v>23-Oct-2026</c:v>
                </c:pt>
                <c:pt idx="23">
                  <c:v>24-Oct-2026</c:v>
                </c:pt>
                <c:pt idx="24">
                  <c:v>25-Oct-2026</c:v>
                </c:pt>
                <c:pt idx="25">
                  <c:v>26-Oct-2026</c:v>
                </c:pt>
                <c:pt idx="26">
                  <c:v>27-Oct-2026</c:v>
                </c:pt>
                <c:pt idx="27">
                  <c:v>28-Oct-2026</c:v>
                </c:pt>
                <c:pt idx="28">
                  <c:v>29-Oct-2026</c:v>
                </c:pt>
                <c:pt idx="29">
                  <c:v>30-Oct-2026</c:v>
                </c:pt>
              </c:strCache>
            </c:strRef>
          </c:cat>
          <c:val>
            <c:numRef>
              <c:f>'Sales Dashboard'!$B$11:$B$41</c:f>
              <c:numCache>
                <c:formatCode>[$₹-4009]\ #,##0.00</c:formatCode>
                <c:ptCount val="30"/>
                <c:pt idx="0">
                  <c:v>14520</c:v>
                </c:pt>
                <c:pt idx="1">
                  <c:v>23460</c:v>
                </c:pt>
                <c:pt idx="2">
                  <c:v>17020</c:v>
                </c:pt>
                <c:pt idx="3">
                  <c:v>16500</c:v>
                </c:pt>
                <c:pt idx="4">
                  <c:v>13810</c:v>
                </c:pt>
                <c:pt idx="5">
                  <c:v>7850</c:v>
                </c:pt>
                <c:pt idx="6">
                  <c:v>6230</c:v>
                </c:pt>
                <c:pt idx="7">
                  <c:v>17590</c:v>
                </c:pt>
                <c:pt idx="8">
                  <c:v>20970</c:v>
                </c:pt>
                <c:pt idx="9">
                  <c:v>16440</c:v>
                </c:pt>
                <c:pt idx="10">
                  <c:v>10030</c:v>
                </c:pt>
                <c:pt idx="11">
                  <c:v>9040</c:v>
                </c:pt>
                <c:pt idx="12">
                  <c:v>25760</c:v>
                </c:pt>
                <c:pt idx="13">
                  <c:v>7810</c:v>
                </c:pt>
                <c:pt idx="14">
                  <c:v>13050</c:v>
                </c:pt>
                <c:pt idx="15">
                  <c:v>19350</c:v>
                </c:pt>
                <c:pt idx="16">
                  <c:v>16300</c:v>
                </c:pt>
                <c:pt idx="17">
                  <c:v>6190</c:v>
                </c:pt>
                <c:pt idx="18">
                  <c:v>16810</c:v>
                </c:pt>
                <c:pt idx="19">
                  <c:v>15910</c:v>
                </c:pt>
                <c:pt idx="20">
                  <c:v>7990</c:v>
                </c:pt>
                <c:pt idx="21">
                  <c:v>5560</c:v>
                </c:pt>
                <c:pt idx="22">
                  <c:v>16240</c:v>
                </c:pt>
                <c:pt idx="23">
                  <c:v>15480</c:v>
                </c:pt>
                <c:pt idx="24">
                  <c:v>4180</c:v>
                </c:pt>
                <c:pt idx="25">
                  <c:v>16550</c:v>
                </c:pt>
                <c:pt idx="26">
                  <c:v>7790</c:v>
                </c:pt>
                <c:pt idx="27">
                  <c:v>16080</c:v>
                </c:pt>
                <c:pt idx="28">
                  <c:v>12020</c:v>
                </c:pt>
                <c:pt idx="29">
                  <c:v>16480</c:v>
                </c:pt>
              </c:numCache>
            </c:numRef>
          </c:val>
          <c:smooth val="0"/>
          <c:extLst>
            <c:ext xmlns:c16="http://schemas.microsoft.com/office/drawing/2014/chart" uri="{C3380CC4-5D6E-409C-BE32-E72D297353CC}">
              <c16:uniqueId val="{00000000-2194-432E-BE17-33910E910AE9}"/>
            </c:ext>
          </c:extLst>
        </c:ser>
        <c:dLbls>
          <c:showLegendKey val="0"/>
          <c:showVal val="0"/>
          <c:showCatName val="0"/>
          <c:showSerName val="0"/>
          <c:showPercent val="0"/>
          <c:showBubbleSize val="0"/>
        </c:dLbls>
        <c:smooth val="0"/>
        <c:axId val="1040149695"/>
        <c:axId val="899392943"/>
      </c:lineChart>
      <c:catAx>
        <c:axId val="1040149695"/>
        <c:scaling>
          <c:orientation val="minMax"/>
        </c:scaling>
        <c:delete val="0"/>
        <c:axPos val="b"/>
        <c:numFmt formatCode="m/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99392943"/>
        <c:crosses val="autoZero"/>
        <c:auto val="1"/>
        <c:lblAlgn val="ctr"/>
        <c:lblOffset val="100"/>
        <c:noMultiLvlLbl val="0"/>
      </c:catAx>
      <c:valAx>
        <c:axId val="899392943"/>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014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[Restaurant_daily_sales_Register.xlsx]Sales Dashboard!PivotTable13</c:name>
    <c:fmtId val="2"/>
  </c:pivotSource>
  <c:chart>
    <c:title>
      <c:tx>
        <c:rich>
          <a:bodyPr rot="0" spcFirstLastPara="1" vertOverflow="ellipsis" vert="horz" wrap="square" anchor="ctr" anchorCtr="1"/>
          <a:lstStyle/>
          <a:p>
            <a:pP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r>
              <a:rPr lang="en-US" sz="1400" b="1" cap="none" spc="0">
                <a:ln w="0"/>
                <a:solidFill>
                  <a:srgbClr val="002060"/>
                </a:solidFill>
                <a:effectLst>
                  <a:outerShdw blurRad="38100" dist="19050" dir="2700000" algn="tl" rotWithShape="0">
                    <a:schemeClr val="dk1">
                      <a:alpha val="40000"/>
                    </a:schemeClr>
                  </a:outerShdw>
                </a:effectLst>
              </a:rPr>
              <a:t>Top 5 Selling Items</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13394640459893E-2"/>
          <c:y val="0.18310055878229345"/>
          <c:w val="0.66423665304643154"/>
          <c:h val="0.78602461791770117"/>
        </c:manualLayout>
      </c:layout>
      <c:pie3DChart>
        <c:varyColors val="1"/>
        <c:ser>
          <c:idx val="0"/>
          <c:order val="0"/>
          <c:tx>
            <c:strRef>
              <c:f>'Sales Dashboard'!$E$12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FE9-460A-9B20-42251AF2B8A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D11-450D-A451-620F071C52D0}"/>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FE9-460A-9B20-42251AF2B8A6}"/>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2D11-450D-A451-620F071C52D0}"/>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1FE9-460A-9B20-42251AF2B8A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Dashboard'!$D$13:$D$18</c:f>
              <c:strCache>
                <c:ptCount val="5"/>
                <c:pt idx="0">
                  <c:v>Chicken Biryani</c:v>
                </c:pt>
                <c:pt idx="1">
                  <c:v>Margherita Pizza</c:v>
                </c:pt>
                <c:pt idx="2">
                  <c:v>Cheese Burger</c:v>
                </c:pt>
                <c:pt idx="3">
                  <c:v>Veg Biryani</c:v>
                </c:pt>
                <c:pt idx="4">
                  <c:v>Fresh Lime Juice</c:v>
                </c:pt>
              </c:strCache>
            </c:strRef>
          </c:cat>
          <c:val>
            <c:numRef>
              <c:f>'Sales Dashboard'!$E$13:$E$18</c:f>
              <c:numCache>
                <c:formatCode>[$₹-4009]\ #,##0.00</c:formatCode>
                <c:ptCount val="5"/>
                <c:pt idx="0">
                  <c:v>134400</c:v>
                </c:pt>
                <c:pt idx="1">
                  <c:v>92750</c:v>
                </c:pt>
                <c:pt idx="2">
                  <c:v>58080</c:v>
                </c:pt>
                <c:pt idx="3">
                  <c:v>41440</c:v>
                </c:pt>
                <c:pt idx="4">
                  <c:v>22400</c:v>
                </c:pt>
              </c:numCache>
            </c:numRef>
          </c:val>
          <c:extLst>
            <c:ext xmlns:c16="http://schemas.microsoft.com/office/drawing/2014/chart" uri="{C3380CC4-5D6E-409C-BE32-E72D297353CC}">
              <c16:uniqueId val="{00000000-2D11-450D-A451-620F071C52D0}"/>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9380300252120097"/>
          <c:y val="0.34050074507243194"/>
          <c:w val="0.28569080093144644"/>
          <c:h val="0.4832019927454541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[Restaurant_daily_sales_Register.xlsx]Sales Dashboard!PivotTable3</c:name>
    <c:fmtId val="6"/>
  </c:pivotSource>
  <c:chart>
    <c:title>
      <c:tx>
        <c:rich>
          <a:bodyPr rot="0" spcFirstLastPara="1" vertOverflow="ellipsis" vert="horz" wrap="square" anchor="ctr" anchorCtr="1"/>
          <a:lstStyle/>
          <a:p>
            <a:pP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r>
              <a:rPr lang="en-US" b="1" cap="none" spc="0">
                <a:ln w="0"/>
                <a:solidFill>
                  <a:srgbClr val="002060"/>
                </a:solidFill>
                <a:effectLst>
                  <a:outerShdw blurRad="38100" dist="19050" dir="2700000" algn="tl" rotWithShape="0">
                    <a:schemeClr val="dk1">
                      <a:alpha val="40000"/>
                    </a:schemeClr>
                  </a:outerShdw>
                </a:effectLst>
              </a:rPr>
              <a:t>Sales</a:t>
            </a:r>
            <a:r>
              <a:rPr lang="en-US" b="1" cap="none" spc="0" baseline="0">
                <a:ln w="0"/>
                <a:solidFill>
                  <a:srgbClr val="002060"/>
                </a:solidFill>
                <a:effectLst>
                  <a:outerShdw blurRad="38100" dist="19050" dir="2700000" algn="tl" rotWithShape="0">
                    <a:schemeClr val="dk1">
                      <a:alpha val="40000"/>
                    </a:schemeClr>
                  </a:outerShdw>
                </a:effectLst>
              </a:rPr>
              <a:t> by Category</a:t>
            </a:r>
            <a:endParaRPr lang="en-US" b="1" cap="none" spc="0">
              <a:ln w="0"/>
              <a:solidFill>
                <a:srgbClr val="002060"/>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FEEB8C"/>
          </a:solidFill>
          <a:ln>
            <a:noFill/>
          </a:ln>
          <a:effectLst/>
        </c:spPr>
      </c:pivotFmt>
      <c:pivotFmt>
        <c:idx val="3"/>
        <c:spPr>
          <a:solidFill>
            <a:srgbClr val="E31D5F"/>
          </a:solidFill>
          <a:ln>
            <a:noFill/>
          </a:ln>
          <a:effectLst/>
        </c:spPr>
      </c:pivotFmt>
    </c:pivotFmts>
    <c:plotArea>
      <c:layout>
        <c:manualLayout>
          <c:layoutTarget val="inner"/>
          <c:xMode val="edge"/>
          <c:yMode val="edge"/>
          <c:x val="0.16241892085622306"/>
          <c:y val="0.15130363150086237"/>
          <c:w val="0.62304256831810823"/>
          <c:h val="0.71416274833658389"/>
        </c:manualLayout>
      </c:layout>
      <c:barChart>
        <c:barDir val="bar"/>
        <c:grouping val="clustered"/>
        <c:varyColors val="0"/>
        <c:ser>
          <c:idx val="0"/>
          <c:order val="0"/>
          <c:tx>
            <c:strRef>
              <c:f>'Sales Dashboard'!$B$3</c:f>
              <c:strCache>
                <c:ptCount val="1"/>
                <c:pt idx="0">
                  <c:v>Total</c:v>
                </c:pt>
              </c:strCache>
            </c:strRef>
          </c:tx>
          <c:spPr>
            <a:solidFill>
              <a:schemeClr val="accent1"/>
            </a:solidFill>
            <a:ln>
              <a:noFill/>
            </a:ln>
            <a:effectLst/>
          </c:spPr>
          <c:invertIfNegative val="0"/>
          <c:dPt>
            <c:idx val="0"/>
            <c:invertIfNegative val="0"/>
            <c:bubble3D val="0"/>
            <c:spPr>
              <a:solidFill>
                <a:srgbClr val="E31D5F"/>
              </a:solidFill>
              <a:ln>
                <a:noFill/>
              </a:ln>
              <a:effectLst/>
            </c:spPr>
            <c:extLst>
              <c:ext xmlns:c16="http://schemas.microsoft.com/office/drawing/2014/chart" uri="{C3380CC4-5D6E-409C-BE32-E72D297353CC}">
                <c16:uniqueId val="{00000004-4BF5-4D05-AEBA-36DB96336E5C}"/>
              </c:ext>
            </c:extLst>
          </c:dPt>
          <c:dPt>
            <c:idx val="1"/>
            <c:invertIfNegative val="0"/>
            <c:bubble3D val="0"/>
            <c:spPr>
              <a:solidFill>
                <a:srgbClr val="FEEB8C"/>
              </a:solidFill>
              <a:ln>
                <a:noFill/>
              </a:ln>
              <a:effectLst/>
            </c:spPr>
            <c:extLst>
              <c:ext xmlns:c16="http://schemas.microsoft.com/office/drawing/2014/chart" uri="{C3380CC4-5D6E-409C-BE32-E72D297353CC}">
                <c16:uniqueId val="{00000003-4BF5-4D05-AEBA-36DB96336E5C}"/>
              </c:ext>
            </c:extLst>
          </c:dPt>
          <c:dPt>
            <c:idx val="2"/>
            <c:invertIfNegative val="0"/>
            <c:bubble3D val="0"/>
            <c:spPr>
              <a:solidFill>
                <a:srgbClr val="7030A0"/>
              </a:solidFill>
              <a:ln>
                <a:noFill/>
              </a:ln>
              <a:effectLst/>
            </c:spPr>
            <c:extLst>
              <c:ext xmlns:c16="http://schemas.microsoft.com/office/drawing/2014/chart" uri="{C3380CC4-5D6E-409C-BE32-E72D297353CC}">
                <c16:uniqueId val="{00000002-4BF5-4D05-AEBA-36DB96336E5C}"/>
              </c:ext>
            </c:extLst>
          </c:dPt>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Dashboard'!$A$4:$A$7</c:f>
              <c:strCache>
                <c:ptCount val="3"/>
                <c:pt idx="0">
                  <c:v>Beverages</c:v>
                </c:pt>
                <c:pt idx="1">
                  <c:v>Desserts</c:v>
                </c:pt>
                <c:pt idx="2">
                  <c:v>Food</c:v>
                </c:pt>
              </c:strCache>
            </c:strRef>
          </c:cat>
          <c:val>
            <c:numRef>
              <c:f>'Sales Dashboard'!$B$4:$B$7</c:f>
              <c:numCache>
                <c:formatCode>[$₹-4009]\ #,##0.00</c:formatCode>
                <c:ptCount val="3"/>
                <c:pt idx="0">
                  <c:v>41970</c:v>
                </c:pt>
                <c:pt idx="1">
                  <c:v>9450</c:v>
                </c:pt>
                <c:pt idx="2">
                  <c:v>361590</c:v>
                </c:pt>
              </c:numCache>
            </c:numRef>
          </c:val>
          <c:extLst>
            <c:ext xmlns:c16="http://schemas.microsoft.com/office/drawing/2014/chart" uri="{C3380CC4-5D6E-409C-BE32-E72D297353CC}">
              <c16:uniqueId val="{00000000-4BF5-4D05-AEBA-36DB96336E5C}"/>
            </c:ext>
          </c:extLst>
        </c:ser>
        <c:dLbls>
          <c:showLegendKey val="0"/>
          <c:showVal val="0"/>
          <c:showCatName val="0"/>
          <c:showSerName val="0"/>
          <c:showPercent val="0"/>
          <c:showBubbleSize val="0"/>
        </c:dLbls>
        <c:gapWidth val="182"/>
        <c:axId val="1163388159"/>
        <c:axId val="1173745903"/>
      </c:barChart>
      <c:catAx>
        <c:axId val="116338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3745903"/>
        <c:crosses val="autoZero"/>
        <c:auto val="1"/>
        <c:lblAlgn val="ctr"/>
        <c:lblOffset val="100"/>
        <c:noMultiLvlLbl val="0"/>
      </c:catAx>
      <c:valAx>
        <c:axId val="1173745903"/>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338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484576</xdr:colOff>
      <xdr:row>9</xdr:row>
      <xdr:rowOff>166492</xdr:rowOff>
    </xdr:from>
    <xdr:to>
      <xdr:col>9</xdr:col>
      <xdr:colOff>385451</xdr:colOff>
      <xdr:row>22</xdr:row>
      <xdr:rowOff>89486</xdr:rowOff>
    </xdr:to>
    <xdr:graphicFrame macro="">
      <xdr:nvGraphicFramePr>
        <xdr:cNvPr id="3" name="Chart 2">
          <a:extLst>
            <a:ext uri="{FF2B5EF4-FFF2-40B4-BE49-F238E27FC236}">
              <a16:creationId xmlns:a16="http://schemas.microsoft.com/office/drawing/2014/main" id="{57BB0E25-3BE4-9A7B-E0B3-4CD8F24E8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525685</xdr:colOff>
      <xdr:row>9</xdr:row>
      <xdr:rowOff>162967</xdr:rowOff>
    </xdr:from>
    <xdr:to>
      <xdr:col>15</xdr:col>
      <xdr:colOff>68580</xdr:colOff>
      <xdr:row>22</xdr:row>
      <xdr:rowOff>93010</xdr:rowOff>
    </xdr:to>
    <xdr:graphicFrame macro="">
      <xdr:nvGraphicFramePr>
        <xdr:cNvPr id="2" name="Chart 1">
          <a:extLst>
            <a:ext uri="{FF2B5EF4-FFF2-40B4-BE49-F238E27FC236}">
              <a16:creationId xmlns:a16="http://schemas.microsoft.com/office/drawing/2014/main" id="{5055A965-BED6-3A5B-9630-7A67BC720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490816</xdr:colOff>
      <xdr:row>23</xdr:row>
      <xdr:rowOff>99060</xdr:rowOff>
    </xdr:from>
    <xdr:to>
      <xdr:col>9</xdr:col>
      <xdr:colOff>487679</xdr:colOff>
      <xdr:row>35</xdr:row>
      <xdr:rowOff>163830</xdr:rowOff>
    </xdr:to>
    <xdr:graphicFrame macro="">
      <xdr:nvGraphicFramePr>
        <xdr:cNvPr id="9" name="Chart 8">
          <a:extLst>
            <a:ext uri="{FF2B5EF4-FFF2-40B4-BE49-F238E27FC236}">
              <a16:creationId xmlns:a16="http://schemas.microsoft.com/office/drawing/2014/main" id="{DE6AA15B-A644-F884-BECC-1BBBD41AA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192151</xdr:colOff>
      <xdr:row>1</xdr:row>
      <xdr:rowOff>164412</xdr:rowOff>
    </xdr:from>
    <xdr:to>
      <xdr:col>18</xdr:col>
      <xdr:colOff>193277</xdr:colOff>
      <xdr:row>8</xdr:row>
      <xdr:rowOff>97971</xdr:rowOff>
    </xdr:to>
    <mc:AlternateContent xmlns:mc="http://schemas.openxmlformats.org/markup-compatibility/2006" xmlns:a14="http://schemas.microsoft.com/office/drawing/2010/main">
      <mc:Choice Requires="a14">
        <xdr:graphicFrame macro="">
          <xdr:nvGraphicFramePr>
            <xdr:cNvPr id="11" name="Payment Mode">
              <a:extLst>
                <a:ext uri="{FF2B5EF4-FFF2-40B4-BE49-F238E27FC236}">
                  <a16:creationId xmlns:a16="http://schemas.microsoft.com/office/drawing/2014/main" id="{979F266E-4A22-FB9F-D644-E17A1E87EC0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379233" y="549894"/>
              <a:ext cx="1829926" cy="1188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187363</xdr:colOff>
      <xdr:row>8</xdr:row>
      <xdr:rowOff>169433</xdr:rowOff>
    </xdr:from>
    <xdr:to>
      <xdr:col>18</xdr:col>
      <xdr:colOff>187363</xdr:colOff>
      <xdr:row>15</xdr:row>
      <xdr:rowOff>80682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50817DC-E499-787F-79E8-52FB78C478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74445" y="1809974"/>
              <a:ext cx="1828800" cy="114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48059</xdr:colOff>
      <xdr:row>23</xdr:row>
      <xdr:rowOff>105058</xdr:rowOff>
    </xdr:from>
    <xdr:to>
      <xdr:col>15</xdr:col>
      <xdr:colOff>87923</xdr:colOff>
      <xdr:row>35</xdr:row>
      <xdr:rowOff>157833</xdr:rowOff>
    </xdr:to>
    <xdr:graphicFrame macro="">
      <xdr:nvGraphicFramePr>
        <xdr:cNvPr id="4" name="Chart 3">
          <a:extLst>
            <a:ext uri="{FF2B5EF4-FFF2-40B4-BE49-F238E27FC236}">
              <a16:creationId xmlns:a16="http://schemas.microsoft.com/office/drawing/2014/main" id="{1921C266-973C-8CE4-F3FE-D0CA2D18F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458148</xdr:colOff>
      <xdr:row>1</xdr:row>
      <xdr:rowOff>101755</xdr:rowOff>
    </xdr:from>
    <xdr:to>
      <xdr:col>7</xdr:col>
      <xdr:colOff>747708</xdr:colOff>
      <xdr:row>3</xdr:row>
      <xdr:rowOff>9264</xdr:rowOff>
    </xdr:to>
    <xdr:sp macro="" textlink="">
      <xdr:nvSpPr>
        <xdr:cNvPr id="10" name="TextBox 9" hidden="1">
          <a:extLst>
            <a:ext uri="{FF2B5EF4-FFF2-40B4-BE49-F238E27FC236}">
              <a16:creationId xmlns:a16="http://schemas.microsoft.com/office/drawing/2014/main" id="{9E9AF81E-E471-ACC6-2569-9793F6EA6B59}"/>
            </a:ext>
          </a:extLst>
        </xdr:cNvPr>
        <xdr:cNvSpPr txBox="1"/>
      </xdr:nvSpPr>
      <xdr:spPr>
        <a:xfrm>
          <a:off x="5653000" y="492694"/>
          <a:ext cx="1323230" cy="27857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rgbClr val="002060"/>
            </a:solidFill>
            <a:latin typeface="Arial Black" panose="020B0A04020102020204" pitchFamily="34" charset="0"/>
          </a:endParaRPr>
        </a:p>
      </xdr:txBody>
    </xdr:sp>
    <xdr:clientData/>
  </xdr:twoCellAnchor>
  <xdr:twoCellAnchor>
    <xdr:from>
      <xdr:col>5</xdr:col>
      <xdr:colOff>495300</xdr:colOff>
      <xdr:row>2</xdr:row>
      <xdr:rowOff>155276</xdr:rowOff>
    </xdr:from>
    <xdr:to>
      <xdr:col>7</xdr:col>
      <xdr:colOff>756139</xdr:colOff>
      <xdr:row>7</xdr:row>
      <xdr:rowOff>161943</xdr:rowOff>
    </xdr:to>
    <xdr:grpSp>
      <xdr:nvGrpSpPr>
        <xdr:cNvPr id="44" name="Group 43">
          <a:extLst>
            <a:ext uri="{FF2B5EF4-FFF2-40B4-BE49-F238E27FC236}">
              <a16:creationId xmlns:a16="http://schemas.microsoft.com/office/drawing/2014/main" id="{FC8ABA04-AB79-5E7A-C0B2-DC789176B6CD}"/>
            </a:ext>
          </a:extLst>
        </xdr:cNvPr>
        <xdr:cNvGrpSpPr/>
      </xdr:nvGrpSpPr>
      <xdr:grpSpPr>
        <a:xfrm>
          <a:off x="5443818" y="720052"/>
          <a:ext cx="1820697" cy="903138"/>
          <a:chOff x="5173980" y="709613"/>
          <a:chExt cx="1815319" cy="921067"/>
        </a:xfrm>
      </xdr:grpSpPr>
      <xdr:sp macro="" textlink="">
        <xdr:nvSpPr>
          <xdr:cNvPr id="5" name="Rectangle: Rounded Corners 4">
            <a:extLst>
              <a:ext uri="{FF2B5EF4-FFF2-40B4-BE49-F238E27FC236}">
                <a16:creationId xmlns:a16="http://schemas.microsoft.com/office/drawing/2014/main" id="{70AA0F7E-738B-6272-B23A-B8093C8C7367}"/>
              </a:ext>
            </a:extLst>
          </xdr:cNvPr>
          <xdr:cNvSpPr/>
        </xdr:nvSpPr>
        <xdr:spPr>
          <a:xfrm>
            <a:off x="5173980" y="709613"/>
            <a:ext cx="1813561" cy="921067"/>
          </a:xfrm>
          <a:prstGeom prst="roundRect">
            <a:avLst/>
          </a:prstGeom>
          <a:solidFill>
            <a:srgbClr val="DCEEFF"/>
          </a:solidFill>
          <a:ln>
            <a:solidFill>
              <a:srgbClr val="91CFFF"/>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B58DAC14-FAE6-FFDC-1DDD-B33B68D9F248}"/>
              </a:ext>
            </a:extLst>
          </xdr:cNvPr>
          <xdr:cNvSpPr txBox="1"/>
        </xdr:nvSpPr>
        <xdr:spPr>
          <a:xfrm>
            <a:off x="5176910" y="815259"/>
            <a:ext cx="1812389" cy="29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cap="none" spc="0">
                <a:ln w="0"/>
                <a:solidFill>
                  <a:srgbClr val="003FAD"/>
                </a:solidFill>
                <a:effectLst>
                  <a:outerShdw blurRad="38100" dist="19050" dir="2700000" algn="tl" rotWithShape="0">
                    <a:schemeClr val="dk1">
                      <a:alpha val="40000"/>
                    </a:schemeClr>
                  </a:outerShdw>
                </a:effectLst>
                <a:latin typeface="Arial Black" panose="020B0A04020102020204" pitchFamily="34" charset="0"/>
              </a:rPr>
              <a:t>Total</a:t>
            </a:r>
            <a:r>
              <a:rPr lang="en-US" sz="1200" b="0" cap="none" spc="0" baseline="0">
                <a:ln w="0"/>
                <a:solidFill>
                  <a:srgbClr val="003FAD"/>
                </a:solidFill>
                <a:effectLst>
                  <a:outerShdw blurRad="38100" dist="19050" dir="2700000" algn="tl" rotWithShape="0">
                    <a:schemeClr val="dk1">
                      <a:alpha val="40000"/>
                    </a:schemeClr>
                  </a:outerShdw>
                </a:effectLst>
                <a:latin typeface="Arial Black" panose="020B0A04020102020204" pitchFamily="34" charset="0"/>
              </a:rPr>
              <a:t> Revenue</a:t>
            </a:r>
            <a:endParaRPr lang="en-US" sz="1200" b="0" cap="none" spc="0">
              <a:ln w="0"/>
              <a:solidFill>
                <a:srgbClr val="003FAD"/>
              </a:solidFill>
              <a:effectLst>
                <a:outerShdw blurRad="38100" dist="19050" dir="2700000" algn="tl" rotWithShape="0">
                  <a:schemeClr val="dk1">
                    <a:alpha val="40000"/>
                  </a:schemeClr>
                </a:outerShdw>
              </a:effectLst>
              <a:latin typeface="Arial Black" panose="020B0A04020102020204" pitchFamily="34" charset="0"/>
            </a:endParaRPr>
          </a:p>
        </xdr:txBody>
      </xdr:sp>
      <xdr:pic>
        <xdr:nvPicPr>
          <xdr:cNvPr id="22" name="Graphic 21" descr="Coins with solid fill">
            <a:extLst>
              <a:ext uri="{FF2B5EF4-FFF2-40B4-BE49-F238E27FC236}">
                <a16:creationId xmlns:a16="http://schemas.microsoft.com/office/drawing/2014/main" id="{E75A963F-0099-EF5F-E5FA-5B91C73D8C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37536" y="1117043"/>
            <a:ext cx="328612" cy="332422"/>
          </a:xfrm>
          <a:prstGeom prst="rect">
            <a:avLst/>
          </a:prstGeom>
        </xdr:spPr>
      </xdr:pic>
      <xdr:sp macro="" textlink="'Daily Summary'!J6">
        <xdr:nvSpPr>
          <xdr:cNvPr id="24" name="TextBox 23">
            <a:extLst>
              <a:ext uri="{FF2B5EF4-FFF2-40B4-BE49-F238E27FC236}">
                <a16:creationId xmlns:a16="http://schemas.microsoft.com/office/drawing/2014/main" id="{A7664E96-1F20-4750-9212-EA8DBCC2F95C}"/>
              </a:ext>
            </a:extLst>
          </xdr:cNvPr>
          <xdr:cNvSpPr txBox="1"/>
        </xdr:nvSpPr>
        <xdr:spPr>
          <a:xfrm>
            <a:off x="5744971" y="1137990"/>
            <a:ext cx="1107756" cy="29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6BE24F-89CD-4F78-9B4A-CC379E15447C}" type="TxLink">
              <a:rPr lang="en-US" sz="1700" b="1" i="0" u="none" strike="noStrike">
                <a:solidFill>
                  <a:srgbClr val="003FAD"/>
                </a:solidFill>
                <a:effectLst>
                  <a:outerShdw blurRad="63500" sx="102000" sy="102000" algn="ctr" rotWithShape="0">
                    <a:prstClr val="black">
                      <a:alpha val="40000"/>
                    </a:prstClr>
                  </a:outerShdw>
                </a:effectLst>
                <a:latin typeface="Calibri"/>
                <a:ea typeface="Calibri"/>
                <a:cs typeface="Calibri"/>
              </a:rPr>
              <a:pPr algn="ctr"/>
              <a:t>₹ 413,010</a:t>
            </a:fld>
            <a:endParaRPr lang="en-US" sz="1700" b="1">
              <a:solidFill>
                <a:srgbClr val="003FAD"/>
              </a:solidFill>
              <a:effectLst>
                <a:outerShdw blurRad="63500" sx="102000" sy="102000" algn="ctr" rotWithShape="0">
                  <a:prstClr val="black">
                    <a:alpha val="40000"/>
                  </a:prstClr>
                </a:outerShdw>
              </a:effectLst>
              <a:latin typeface="Arial Black" panose="020B0A04020102020204" pitchFamily="34" charset="0"/>
            </a:endParaRPr>
          </a:p>
        </xdr:txBody>
      </xdr:sp>
    </xdr:grpSp>
    <xdr:clientData/>
  </xdr:twoCellAnchor>
  <xdr:twoCellAnchor>
    <xdr:from>
      <xdr:col>7</xdr:col>
      <xdr:colOff>933663</xdr:colOff>
      <xdr:row>2</xdr:row>
      <xdr:rowOff>155276</xdr:rowOff>
    </xdr:from>
    <xdr:to>
      <xdr:col>10</xdr:col>
      <xdr:colOff>95177</xdr:colOff>
      <xdr:row>7</xdr:row>
      <xdr:rowOff>161943</xdr:rowOff>
    </xdr:to>
    <xdr:sp macro="" textlink="">
      <xdr:nvSpPr>
        <xdr:cNvPr id="26" name="Rectangle: Rounded Corners 25">
          <a:extLst>
            <a:ext uri="{FF2B5EF4-FFF2-40B4-BE49-F238E27FC236}">
              <a16:creationId xmlns:a16="http://schemas.microsoft.com/office/drawing/2014/main" id="{6F66D3D0-B41F-4FD9-941E-A478ECFC719E}"/>
            </a:ext>
          </a:extLst>
        </xdr:cNvPr>
        <xdr:cNvSpPr/>
      </xdr:nvSpPr>
      <xdr:spPr>
        <a:xfrm>
          <a:off x="7413976" y="731746"/>
          <a:ext cx="1772192" cy="934319"/>
        </a:xfrm>
        <a:prstGeom prst="roundRect">
          <a:avLst/>
        </a:prstGeom>
        <a:solidFill>
          <a:srgbClr val="D9FBE8"/>
        </a:solidFill>
        <a:ln>
          <a:solidFill>
            <a:srgbClr val="9AE6BD"/>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831311</xdr:colOff>
      <xdr:row>3</xdr:row>
      <xdr:rowOff>78153</xdr:rowOff>
    </xdr:from>
    <xdr:to>
      <xdr:col>10</xdr:col>
      <xdr:colOff>205018</xdr:colOff>
      <xdr:row>5</xdr:row>
      <xdr:rowOff>4179</xdr:rowOff>
    </xdr:to>
    <xdr:sp macro="" textlink="">
      <xdr:nvSpPr>
        <xdr:cNvPr id="27" name="TextBox 26">
          <a:extLst>
            <a:ext uri="{FF2B5EF4-FFF2-40B4-BE49-F238E27FC236}">
              <a16:creationId xmlns:a16="http://schemas.microsoft.com/office/drawing/2014/main" id="{912C9CFB-A7AC-4DA6-942A-285C71C83165}"/>
            </a:ext>
          </a:extLst>
        </xdr:cNvPr>
        <xdr:cNvSpPr txBox="1"/>
      </xdr:nvSpPr>
      <xdr:spPr>
        <a:xfrm>
          <a:off x="7311624" y="840153"/>
          <a:ext cx="1984385" cy="297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cap="none" spc="0">
              <a:ln w="0"/>
              <a:solidFill>
                <a:srgbClr val="08783E"/>
              </a:solidFill>
              <a:effectLst>
                <a:outerShdw blurRad="38100" dist="19050" dir="2700000" algn="tl" rotWithShape="0">
                  <a:schemeClr val="dk1">
                    <a:alpha val="40000"/>
                  </a:schemeClr>
                </a:outerShdw>
              </a:effectLst>
              <a:latin typeface="Arial Black" panose="020B0A04020102020204" pitchFamily="34" charset="0"/>
            </a:rPr>
            <a:t>Average</a:t>
          </a:r>
          <a:r>
            <a:rPr lang="en-US" sz="1100" b="0" cap="none" spc="0" baseline="0">
              <a:ln w="0"/>
              <a:solidFill>
                <a:srgbClr val="08783E"/>
              </a:solidFill>
              <a:effectLst>
                <a:outerShdw blurRad="38100" dist="19050" dir="2700000" algn="tl" rotWithShape="0">
                  <a:schemeClr val="dk1">
                    <a:alpha val="40000"/>
                  </a:schemeClr>
                </a:outerShdw>
              </a:effectLst>
              <a:latin typeface="Arial Black" panose="020B0A04020102020204" pitchFamily="34" charset="0"/>
            </a:rPr>
            <a:t> Daily Sales</a:t>
          </a:r>
          <a:endParaRPr lang="en-US" sz="1100" b="0" cap="none" spc="0">
            <a:ln w="0"/>
            <a:solidFill>
              <a:srgbClr val="08783E"/>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8</xdr:col>
      <xdr:colOff>44100</xdr:colOff>
      <xdr:row>5</xdr:row>
      <xdr:rowOff>36214</xdr:rowOff>
    </xdr:from>
    <xdr:to>
      <xdr:col>9</xdr:col>
      <xdr:colOff>542722</xdr:colOff>
      <xdr:row>6</xdr:row>
      <xdr:rowOff>145838</xdr:rowOff>
    </xdr:to>
    <xdr:sp macro="" textlink="'Daily Summary'!J7">
      <xdr:nvSpPr>
        <xdr:cNvPr id="28" name="TextBox 27">
          <a:extLst>
            <a:ext uri="{FF2B5EF4-FFF2-40B4-BE49-F238E27FC236}">
              <a16:creationId xmlns:a16="http://schemas.microsoft.com/office/drawing/2014/main" id="{E261C07D-0A7C-4932-AACC-0B458EC17AFC}"/>
            </a:ext>
          </a:extLst>
        </xdr:cNvPr>
        <xdr:cNvSpPr txBox="1"/>
      </xdr:nvSpPr>
      <xdr:spPr>
        <a:xfrm>
          <a:off x="7915891" y="1169275"/>
          <a:ext cx="1108222" cy="29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331C2B-6984-4053-B385-7737ED32A54A}" type="TxLink">
            <a:rPr lang="en-US" sz="1700" b="1" i="0" u="none" strike="noStrike">
              <a:solidFill>
                <a:srgbClr val="08783E"/>
              </a:solidFill>
              <a:effectLst>
                <a:outerShdw blurRad="63500" sx="102000" sy="102000" algn="ctr" rotWithShape="0">
                  <a:prstClr val="black">
                    <a:alpha val="40000"/>
                  </a:prstClr>
                </a:outerShdw>
              </a:effectLst>
              <a:latin typeface="Calibri"/>
              <a:ea typeface="Calibri"/>
              <a:cs typeface="Calibri"/>
            </a:rPr>
            <a:pPr algn="ctr"/>
            <a:t>₹ 13,767</a:t>
          </a:fld>
          <a:endParaRPr lang="en-US" sz="1700" b="1">
            <a:solidFill>
              <a:srgbClr val="08783E"/>
            </a:solidFill>
            <a:effectLst>
              <a:outerShdw blurRad="63500" sx="102000" sy="102000" algn="ctr" rotWithShape="0">
                <a:prstClr val="black">
                  <a:alpha val="40000"/>
                </a:prstClr>
              </a:outerShdw>
            </a:effectLst>
            <a:latin typeface="Arial Black" panose="020B0A04020102020204" pitchFamily="34" charset="0"/>
          </a:endParaRPr>
        </a:p>
      </xdr:txBody>
    </xdr:sp>
    <xdr:clientData/>
  </xdr:twoCellAnchor>
  <xdr:twoCellAnchor>
    <xdr:from>
      <xdr:col>7</xdr:col>
      <xdr:colOff>1110186</xdr:colOff>
      <xdr:row>5</xdr:row>
      <xdr:rowOff>16236</xdr:rowOff>
    </xdr:from>
    <xdr:to>
      <xdr:col>8</xdr:col>
      <xdr:colOff>37036</xdr:colOff>
      <xdr:row>6</xdr:row>
      <xdr:rowOff>165815</xdr:rowOff>
    </xdr:to>
    <xdr:pic>
      <xdr:nvPicPr>
        <xdr:cNvPr id="30" name="Graphic 29" descr="Bar chart with solid fill">
          <a:extLst>
            <a:ext uri="{FF2B5EF4-FFF2-40B4-BE49-F238E27FC236}">
              <a16:creationId xmlns:a16="http://schemas.microsoft.com/office/drawing/2014/main" id="{4071F76D-1085-CF13-18A4-B9E52AA640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90499" y="1149297"/>
          <a:ext cx="318328" cy="335109"/>
        </a:xfrm>
        <a:prstGeom prst="rect">
          <a:avLst/>
        </a:prstGeom>
      </xdr:spPr>
    </xdr:pic>
    <xdr:clientData/>
  </xdr:twoCellAnchor>
  <xdr:twoCellAnchor>
    <xdr:from>
      <xdr:col>10</xdr:col>
      <xdr:colOff>296118</xdr:colOff>
      <xdr:row>2</xdr:row>
      <xdr:rowOff>155276</xdr:rowOff>
    </xdr:from>
    <xdr:to>
      <xdr:col>11</xdr:col>
      <xdr:colOff>1215357</xdr:colOff>
      <xdr:row>7</xdr:row>
      <xdr:rowOff>161943</xdr:rowOff>
    </xdr:to>
    <xdr:sp macro="" textlink="">
      <xdr:nvSpPr>
        <xdr:cNvPr id="34" name="Rectangle: Rounded Corners 33">
          <a:extLst>
            <a:ext uri="{FF2B5EF4-FFF2-40B4-BE49-F238E27FC236}">
              <a16:creationId xmlns:a16="http://schemas.microsoft.com/office/drawing/2014/main" id="{2935D9D1-942E-4D44-A327-F52D36F66A67}"/>
            </a:ext>
          </a:extLst>
        </xdr:cNvPr>
        <xdr:cNvSpPr/>
      </xdr:nvSpPr>
      <xdr:spPr>
        <a:xfrm>
          <a:off x="9142938" y="726776"/>
          <a:ext cx="1818399" cy="921067"/>
        </a:xfrm>
        <a:prstGeom prst="roundRect">
          <a:avLst/>
        </a:prstGeom>
        <a:solidFill>
          <a:srgbClr val="FFF1C2"/>
        </a:solidFill>
        <a:ln>
          <a:solidFill>
            <a:srgbClr val="FFD66B"/>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316523</xdr:colOff>
      <xdr:row>3</xdr:row>
      <xdr:rowOff>68207</xdr:rowOff>
    </xdr:from>
    <xdr:to>
      <xdr:col>11</xdr:col>
      <xdr:colOff>1219199</xdr:colOff>
      <xdr:row>6</xdr:row>
      <xdr:rowOff>140167</xdr:rowOff>
    </xdr:to>
    <xdr:grpSp>
      <xdr:nvGrpSpPr>
        <xdr:cNvPr id="46" name="Group 45">
          <a:extLst>
            <a:ext uri="{FF2B5EF4-FFF2-40B4-BE49-F238E27FC236}">
              <a16:creationId xmlns:a16="http://schemas.microsoft.com/office/drawing/2014/main" id="{F0883366-08D4-BC4E-D8F2-3BF307C080CC}"/>
            </a:ext>
          </a:extLst>
        </xdr:cNvPr>
        <xdr:cNvGrpSpPr/>
      </xdr:nvGrpSpPr>
      <xdr:grpSpPr>
        <a:xfrm>
          <a:off x="9442594" y="812278"/>
          <a:ext cx="1799146" cy="609842"/>
          <a:chOff x="9163343" y="822587"/>
          <a:chExt cx="1801836" cy="620600"/>
        </a:xfrm>
      </xdr:grpSpPr>
      <xdr:sp macro="" textlink="">
        <xdr:nvSpPr>
          <xdr:cNvPr id="35" name="TextBox 34">
            <a:extLst>
              <a:ext uri="{FF2B5EF4-FFF2-40B4-BE49-F238E27FC236}">
                <a16:creationId xmlns:a16="http://schemas.microsoft.com/office/drawing/2014/main" id="{C971D919-4972-49C1-948D-E6729EAFDD4E}"/>
              </a:ext>
            </a:extLst>
          </xdr:cNvPr>
          <xdr:cNvSpPr txBox="1"/>
        </xdr:nvSpPr>
        <xdr:spPr>
          <a:xfrm>
            <a:off x="9163343" y="822587"/>
            <a:ext cx="1801836" cy="29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cap="none" spc="0">
                <a:ln w="0"/>
                <a:solidFill>
                  <a:srgbClr val="854000"/>
                </a:solidFill>
                <a:effectLst>
                  <a:outerShdw blurRad="38100" dist="19050" dir="2700000" algn="tl" rotWithShape="0">
                    <a:schemeClr val="dk1">
                      <a:alpha val="40000"/>
                    </a:schemeClr>
                  </a:outerShdw>
                </a:effectLst>
                <a:latin typeface="Arial Black" panose="020B0A04020102020204" pitchFamily="34" charset="0"/>
              </a:rPr>
              <a:t>Total</a:t>
            </a:r>
            <a:r>
              <a:rPr lang="en-US" sz="1200" b="0" cap="none" spc="0" baseline="0">
                <a:ln w="0"/>
                <a:solidFill>
                  <a:srgbClr val="854000"/>
                </a:solidFill>
                <a:effectLst>
                  <a:outerShdw blurRad="38100" dist="19050" dir="2700000" algn="tl" rotWithShape="0">
                    <a:schemeClr val="dk1">
                      <a:alpha val="40000"/>
                    </a:schemeClr>
                  </a:outerShdw>
                </a:effectLst>
                <a:latin typeface="Arial Black" panose="020B0A04020102020204" pitchFamily="34" charset="0"/>
              </a:rPr>
              <a:t> Orders</a:t>
            </a:r>
            <a:endParaRPr lang="en-US" sz="1200" b="0" cap="none" spc="0">
              <a:ln w="0"/>
              <a:solidFill>
                <a:srgbClr val="854000"/>
              </a:solidFill>
              <a:effectLst>
                <a:outerShdw blurRad="38100" dist="19050" dir="2700000" algn="tl" rotWithShape="0">
                  <a:schemeClr val="dk1">
                    <a:alpha val="40000"/>
                  </a:schemeClr>
                </a:outerShdw>
              </a:effectLst>
              <a:latin typeface="Arial Black" panose="020B0A04020102020204" pitchFamily="34" charset="0"/>
            </a:endParaRPr>
          </a:p>
        </xdr:txBody>
      </xdr:sp>
      <xdr:sp macro="" textlink="'Daily Summary'!J8">
        <xdr:nvSpPr>
          <xdr:cNvPr id="36" name="TextBox 35">
            <a:extLst>
              <a:ext uri="{FF2B5EF4-FFF2-40B4-BE49-F238E27FC236}">
                <a16:creationId xmlns:a16="http://schemas.microsoft.com/office/drawing/2014/main" id="{84502A79-1AAC-4457-9726-F2E79FF83D5F}"/>
              </a:ext>
            </a:extLst>
          </xdr:cNvPr>
          <xdr:cNvSpPr txBox="1"/>
        </xdr:nvSpPr>
        <xdr:spPr>
          <a:xfrm>
            <a:off x="9998847" y="1138727"/>
            <a:ext cx="594763" cy="29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4A97EF-BEB8-49D2-A5F4-AC0707223AE0}" type="TxLink">
              <a:rPr lang="en-US" sz="1700" b="1" i="0" u="none" strike="noStrike">
                <a:solidFill>
                  <a:srgbClr val="854000"/>
                </a:solidFill>
                <a:effectLst>
                  <a:outerShdw blurRad="63500" sx="102000" sy="102000" algn="ctr" rotWithShape="0">
                    <a:prstClr val="black">
                      <a:alpha val="40000"/>
                    </a:prstClr>
                  </a:outerShdw>
                </a:effectLst>
                <a:latin typeface="Calibri"/>
                <a:ea typeface="Calibri"/>
                <a:cs typeface="Calibri"/>
              </a:rPr>
              <a:pPr algn="ctr"/>
              <a:t>159</a:t>
            </a:fld>
            <a:endParaRPr lang="en-US" sz="1700" b="1">
              <a:solidFill>
                <a:srgbClr val="854000"/>
              </a:solidFill>
              <a:effectLst>
                <a:outerShdw blurRad="63500" sx="102000" sy="102000" algn="ctr" rotWithShape="0">
                  <a:prstClr val="black">
                    <a:alpha val="40000"/>
                  </a:prstClr>
                </a:outerShdw>
              </a:effectLst>
              <a:latin typeface="Arial Black" panose="020B0A04020102020204" pitchFamily="34" charset="0"/>
            </a:endParaRPr>
          </a:p>
        </xdr:txBody>
      </xdr:sp>
      <xdr:pic>
        <xdr:nvPicPr>
          <xdr:cNvPr id="38" name="Graphic 37" descr="Shopping cart with solid fill">
            <a:extLst>
              <a:ext uri="{FF2B5EF4-FFF2-40B4-BE49-F238E27FC236}">
                <a16:creationId xmlns:a16="http://schemas.microsoft.com/office/drawing/2014/main" id="{37373A59-2EA5-AEBB-19D6-0CDBAA82FB0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66851" y="1145116"/>
            <a:ext cx="295420" cy="298071"/>
          </a:xfrm>
          <a:prstGeom prst="rect">
            <a:avLst/>
          </a:prstGeom>
        </xdr:spPr>
      </xdr:pic>
    </xdr:grpSp>
    <xdr:clientData/>
  </xdr:twoCellAnchor>
  <xdr:twoCellAnchor>
    <xdr:from>
      <xdr:col>12</xdr:col>
      <xdr:colOff>29915</xdr:colOff>
      <xdr:row>2</xdr:row>
      <xdr:rowOff>155276</xdr:rowOff>
    </xdr:from>
    <xdr:to>
      <xdr:col>15</xdr:col>
      <xdr:colOff>21502</xdr:colOff>
      <xdr:row>7</xdr:row>
      <xdr:rowOff>161943</xdr:rowOff>
    </xdr:to>
    <xdr:sp macro="" textlink="">
      <xdr:nvSpPr>
        <xdr:cNvPr id="39" name="Rectangle: Rounded Corners 38">
          <a:extLst>
            <a:ext uri="{FF2B5EF4-FFF2-40B4-BE49-F238E27FC236}">
              <a16:creationId xmlns:a16="http://schemas.microsoft.com/office/drawing/2014/main" id="{51F5D15E-78F7-432F-AC65-99C7733E638C}"/>
            </a:ext>
          </a:extLst>
        </xdr:cNvPr>
        <xdr:cNvSpPr/>
      </xdr:nvSpPr>
      <xdr:spPr>
        <a:xfrm>
          <a:off x="11109395" y="726776"/>
          <a:ext cx="1820387" cy="921067"/>
        </a:xfrm>
        <a:prstGeom prst="roundRect">
          <a:avLst/>
        </a:prstGeom>
        <a:solidFill>
          <a:srgbClr val="FFE0E0"/>
        </a:solidFill>
        <a:ln>
          <a:solidFill>
            <a:srgbClr val="FFAAAA"/>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1272208</xdr:colOff>
      <xdr:row>3</xdr:row>
      <xdr:rowOff>60306</xdr:rowOff>
    </xdr:from>
    <xdr:to>
      <xdr:col>15</xdr:col>
      <xdr:colOff>105252</xdr:colOff>
      <xdr:row>6</xdr:row>
      <xdr:rowOff>144780</xdr:rowOff>
    </xdr:to>
    <xdr:grpSp>
      <xdr:nvGrpSpPr>
        <xdr:cNvPr id="47" name="Group 46">
          <a:extLst>
            <a:ext uri="{FF2B5EF4-FFF2-40B4-BE49-F238E27FC236}">
              <a16:creationId xmlns:a16="http://schemas.microsoft.com/office/drawing/2014/main" id="{DF7CAC75-2008-F0C5-B5FC-7CE97F8B6E9A}"/>
            </a:ext>
          </a:extLst>
        </xdr:cNvPr>
        <xdr:cNvGrpSpPr/>
      </xdr:nvGrpSpPr>
      <xdr:grpSpPr>
        <a:xfrm>
          <a:off x="11294749" y="804377"/>
          <a:ext cx="1997585" cy="622356"/>
          <a:chOff x="11018188" y="814686"/>
          <a:chExt cx="1995344" cy="633114"/>
        </a:xfrm>
      </xdr:grpSpPr>
      <xdr:sp macro="" textlink="">
        <xdr:nvSpPr>
          <xdr:cNvPr id="40" name="TextBox 39">
            <a:extLst>
              <a:ext uri="{FF2B5EF4-FFF2-40B4-BE49-F238E27FC236}">
                <a16:creationId xmlns:a16="http://schemas.microsoft.com/office/drawing/2014/main" id="{31A0DCC4-A8B9-4ABA-A323-AA204EC5E32A}"/>
              </a:ext>
            </a:extLst>
          </xdr:cNvPr>
          <xdr:cNvSpPr txBox="1"/>
        </xdr:nvSpPr>
        <xdr:spPr>
          <a:xfrm>
            <a:off x="11018188" y="814686"/>
            <a:ext cx="1995344" cy="29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cap="none" spc="0">
                <a:ln w="0"/>
                <a:solidFill>
                  <a:srgbClr val="C00000"/>
                </a:solidFill>
                <a:effectLst>
                  <a:outerShdw blurRad="38100" dist="19050" dir="2700000" algn="tl" rotWithShape="0">
                    <a:schemeClr val="dk1">
                      <a:alpha val="40000"/>
                    </a:schemeClr>
                  </a:outerShdw>
                </a:effectLst>
                <a:latin typeface="Arial Black" panose="020B0A04020102020204" pitchFamily="34" charset="0"/>
              </a:rPr>
              <a:t>Target</a:t>
            </a:r>
            <a:r>
              <a:rPr lang="en-US" sz="1100" b="0" cap="none" spc="0" baseline="0">
                <a:ln w="0"/>
                <a:solidFill>
                  <a:srgbClr val="C00000"/>
                </a:solidFill>
                <a:effectLst>
                  <a:outerShdw blurRad="38100" dist="19050" dir="2700000" algn="tl" rotWithShape="0">
                    <a:schemeClr val="dk1">
                      <a:alpha val="40000"/>
                    </a:schemeClr>
                  </a:outerShdw>
                </a:effectLst>
                <a:latin typeface="Arial Black" panose="020B0A04020102020204" pitchFamily="34" charset="0"/>
              </a:rPr>
              <a:t> Achievement</a:t>
            </a:r>
            <a:endParaRPr lang="en-US" sz="1100" b="0" cap="none" spc="0">
              <a:ln w="0"/>
              <a:solidFill>
                <a:srgbClr val="C00000"/>
              </a:solidFill>
              <a:effectLst>
                <a:outerShdw blurRad="38100" dist="19050" dir="2700000" algn="tl" rotWithShape="0">
                  <a:schemeClr val="dk1">
                    <a:alpha val="40000"/>
                  </a:schemeClr>
                </a:outerShdw>
              </a:effectLst>
              <a:latin typeface="Arial Black" panose="020B0A04020102020204" pitchFamily="34" charset="0"/>
            </a:endParaRPr>
          </a:p>
        </xdr:txBody>
      </xdr:sp>
      <xdr:sp macro="" textlink="'Daily Summary'!J10">
        <xdr:nvSpPr>
          <xdr:cNvPr id="41" name="TextBox 40">
            <a:extLst>
              <a:ext uri="{FF2B5EF4-FFF2-40B4-BE49-F238E27FC236}">
                <a16:creationId xmlns:a16="http://schemas.microsoft.com/office/drawing/2014/main" id="{DA142E4E-922C-4F0B-8F85-589E2EAC8AD4}"/>
              </a:ext>
            </a:extLst>
          </xdr:cNvPr>
          <xdr:cNvSpPr txBox="1"/>
        </xdr:nvSpPr>
        <xdr:spPr>
          <a:xfrm>
            <a:off x="11920973" y="1128839"/>
            <a:ext cx="594763" cy="292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23F93E-0B34-45A7-8F41-C08A3C83A370}" type="TxLink">
              <a:rPr lang="en-US" sz="1700" b="0" i="0" u="none" strike="noStrike" cap="none" spc="0">
                <a:ln w="0"/>
                <a:solidFill>
                  <a:srgbClr val="B51212"/>
                </a:solidFill>
                <a:effectLst>
                  <a:outerShdw blurRad="38100" dist="19050" dir="2700000" algn="tl" rotWithShape="0">
                    <a:schemeClr val="dk1">
                      <a:alpha val="40000"/>
                    </a:schemeClr>
                  </a:outerShdw>
                </a:effectLst>
                <a:latin typeface="Calibri"/>
                <a:ea typeface="Calibri"/>
                <a:cs typeface="Calibri"/>
              </a:rPr>
              <a:pPr algn="ctr"/>
              <a:t>53%</a:t>
            </a:fld>
            <a:endParaRPr lang="en-US" sz="1700" b="0" cap="none" spc="0">
              <a:ln w="0"/>
              <a:solidFill>
                <a:srgbClr val="B51212"/>
              </a:solidFill>
              <a:effectLst>
                <a:outerShdw blurRad="38100" dist="19050" dir="2700000" algn="tl" rotWithShape="0">
                  <a:schemeClr val="dk1">
                    <a:alpha val="40000"/>
                  </a:schemeClr>
                </a:outerShdw>
              </a:effectLst>
              <a:latin typeface="Arial Black" panose="020B0A04020102020204" pitchFamily="34" charset="0"/>
            </a:endParaRPr>
          </a:p>
        </xdr:txBody>
      </xdr:sp>
      <xdr:pic>
        <xdr:nvPicPr>
          <xdr:cNvPr id="43" name="Graphic 42" descr="Bullseye with solid fill">
            <a:extLst>
              <a:ext uri="{FF2B5EF4-FFF2-40B4-BE49-F238E27FC236}">
                <a16:creationId xmlns:a16="http://schemas.microsoft.com/office/drawing/2014/main" id="{D18C889D-FAB2-9E2C-4708-8A4AB92AA9B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544300" y="1127760"/>
            <a:ext cx="320040" cy="320040"/>
          </a:xfrm>
          <a:prstGeom prst="rect">
            <a:avLst/>
          </a:prstGeom>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0.07533</cdr:x>
      <cdr:y>0.09474</cdr:y>
    </cdr:from>
    <cdr:to>
      <cdr:x>0.33781</cdr:x>
      <cdr:y>0.16412</cdr:y>
    </cdr:to>
    <cdr:sp macro="" textlink="">
      <cdr:nvSpPr>
        <cdr:cNvPr id="4" name="TextBox 3">
          <a:extLst xmlns:a="http://schemas.openxmlformats.org/drawingml/2006/main">
            <a:ext uri="{FF2B5EF4-FFF2-40B4-BE49-F238E27FC236}">
              <a16:creationId xmlns:a16="http://schemas.microsoft.com/office/drawing/2014/main" id="{CE50B97B-E86F-967A-E03B-37FAD5A151F2}"/>
            </a:ext>
          </a:extLst>
        </cdr:cNvPr>
        <cdr:cNvSpPr txBox="1"/>
      </cdr:nvSpPr>
      <cdr:spPr>
        <a:xfrm xmlns:a="http://schemas.openxmlformats.org/drawingml/2006/main">
          <a:off x="286678" y="201098"/>
          <a:ext cx="998924" cy="1472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izh Chemmal" refreshedDate="46316.729852893521" createdVersion="8" refreshedVersion="8" minRefreshableVersion="3" recordCount="159" xr:uid="{4E73482D-7AFE-4C15-B96F-36EC9B96A3EB}">
  <cacheSource type="worksheet">
    <worksheetSource ref="A2:I161" sheet="Sales Register"/>
  </cacheSource>
  <cacheFields count="9">
    <cacheField name="Date" numFmtId="164">
      <sharedItems containsSemiMixedTypes="0" containsNonDate="0" containsDate="1" containsString="0" minDate="2026-10-01T00:00:00" maxDate="2026-10-31T00:00:00" count="3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sharedItems>
    </cacheField>
    <cacheField name="Menu Item " numFmtId="0">
      <sharedItems count="12">
        <s v="Chicken Biryani"/>
        <s v="Fresh Lime Juice"/>
        <s v="Paneer Wrap"/>
        <s v="Veg Biryani"/>
        <s v="Margherita Pizza"/>
        <s v="French Fries"/>
        <s v="Cheese Burger"/>
        <s v="Cold Coffee"/>
        <s v="Ice Cream"/>
        <s v="Masala Tea"/>
        <s v="Mineral Water"/>
        <s v="Chocolate Cake"/>
      </sharedItems>
    </cacheField>
    <cacheField name="Category" numFmtId="0">
      <sharedItems count="3">
        <s v="Food"/>
        <s v="Beverages"/>
        <s v="Desserts"/>
      </sharedItems>
    </cacheField>
    <cacheField name="Quantity Sold" numFmtId="0">
      <sharedItems containsSemiMixedTypes="0" containsString="0" containsNumber="1" containsInteger="1" minValue="3" maxValue="70"/>
    </cacheField>
    <cacheField name="Unit Price (₹)" numFmtId="167">
      <sharedItems containsSemiMixedTypes="0" containsString="0" containsNumber="1" containsInteger="1" minValue="30" maxValue="250"/>
    </cacheField>
    <cacheField name="Total Sales (₹)" numFmtId="167">
      <sharedItems containsSemiMixedTypes="0" containsString="0" containsNumber="1" containsInteger="1" minValue="150" maxValue="13200"/>
    </cacheField>
    <cacheField name="Payment Mode" numFmtId="0">
      <sharedItems count="3">
        <s v="Card"/>
        <s v="UPI"/>
        <s v="Cash"/>
      </sharedItems>
    </cacheField>
    <cacheField name="Discount Eligibility  " numFmtId="165">
      <sharedItems/>
    </cacheField>
    <cacheField name="Payment Mode Check" numFmtId="0">
      <sharedItems/>
    </cacheField>
  </cacheFields>
  <extLst>
    <ext xmlns:x14="http://schemas.microsoft.com/office/spreadsheetml/2009/9/main" uri="{725AE2AE-9491-48be-B2B4-4EB974FC3084}">
      <x14:pivotCacheDefinition pivotCacheId="454822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x v="0"/>
    <x v="0"/>
    <x v="0"/>
    <n v="11"/>
    <n v="200"/>
    <n v="2200"/>
    <x v="0"/>
    <s v="Not Eligible"/>
    <s v="Digital"/>
  </r>
  <r>
    <x v="0"/>
    <x v="0"/>
    <x v="0"/>
    <n v="10"/>
    <n v="200"/>
    <n v="2000"/>
    <x v="1"/>
    <s v="Not Eligible"/>
    <s v="Digital"/>
  </r>
  <r>
    <x v="0"/>
    <x v="1"/>
    <x v="1"/>
    <n v="52"/>
    <n v="70"/>
    <n v="3640"/>
    <x v="2"/>
    <s v="Eligible"/>
    <s v="Cash"/>
  </r>
  <r>
    <x v="0"/>
    <x v="0"/>
    <x v="0"/>
    <n v="10"/>
    <n v="200"/>
    <n v="2000"/>
    <x v="1"/>
    <s v="Not Eligible"/>
    <s v="Digital"/>
  </r>
  <r>
    <x v="0"/>
    <x v="0"/>
    <x v="0"/>
    <n v="9"/>
    <n v="200"/>
    <n v="1800"/>
    <x v="1"/>
    <s v="Not Eligible"/>
    <s v="Digital"/>
  </r>
  <r>
    <x v="0"/>
    <x v="2"/>
    <x v="0"/>
    <n v="16"/>
    <n v="180"/>
    <n v="2880"/>
    <x v="0"/>
    <s v="Not Eligible"/>
    <s v="Digital"/>
  </r>
  <r>
    <x v="1"/>
    <x v="3"/>
    <x v="0"/>
    <n v="3"/>
    <n v="160"/>
    <n v="480"/>
    <x v="1"/>
    <s v="Not Eligible"/>
    <s v="Digital"/>
  </r>
  <r>
    <x v="1"/>
    <x v="0"/>
    <x v="0"/>
    <n v="16"/>
    <n v="200"/>
    <n v="3200"/>
    <x v="0"/>
    <s v="Not Eligible"/>
    <s v="Digital"/>
  </r>
  <r>
    <x v="1"/>
    <x v="0"/>
    <x v="0"/>
    <n v="13"/>
    <n v="200"/>
    <n v="2600"/>
    <x v="2"/>
    <s v="Not Eligible"/>
    <s v="Cash"/>
  </r>
  <r>
    <x v="1"/>
    <x v="4"/>
    <x v="0"/>
    <n v="14"/>
    <n v="250"/>
    <n v="3500"/>
    <x v="1"/>
    <s v="Not Eligible"/>
    <s v="Digital"/>
  </r>
  <r>
    <x v="1"/>
    <x v="5"/>
    <x v="0"/>
    <n v="4"/>
    <n v="120"/>
    <n v="480"/>
    <x v="1"/>
    <s v="Not Eligible"/>
    <s v="Digital"/>
  </r>
  <r>
    <x v="1"/>
    <x v="6"/>
    <x v="0"/>
    <n v="60"/>
    <n v="220"/>
    <n v="13200"/>
    <x v="2"/>
    <s v="Not Eligible"/>
    <s v="Cash"/>
  </r>
  <r>
    <x v="2"/>
    <x v="7"/>
    <x v="1"/>
    <n v="14"/>
    <n v="80"/>
    <n v="1120"/>
    <x v="1"/>
    <s v="Not Eligible"/>
    <s v="Digital"/>
  </r>
  <r>
    <x v="2"/>
    <x v="0"/>
    <x v="0"/>
    <n v="10"/>
    <n v="200"/>
    <n v="2000"/>
    <x v="1"/>
    <s v="Not Eligible"/>
    <s v="Digital"/>
  </r>
  <r>
    <x v="2"/>
    <x v="8"/>
    <x v="2"/>
    <n v="10"/>
    <n v="90"/>
    <n v="900"/>
    <x v="1"/>
    <s v="Not Eligible"/>
    <s v="Digital"/>
  </r>
  <r>
    <x v="2"/>
    <x v="4"/>
    <x v="0"/>
    <n v="17"/>
    <n v="250"/>
    <n v="4250"/>
    <x v="1"/>
    <s v="Not Eligible"/>
    <s v="Digital"/>
  </r>
  <r>
    <x v="2"/>
    <x v="4"/>
    <x v="0"/>
    <n v="35"/>
    <n v="250"/>
    <n v="8750"/>
    <x v="0"/>
    <s v="Not Eligible"/>
    <s v="Digital"/>
  </r>
  <r>
    <x v="3"/>
    <x v="3"/>
    <x v="0"/>
    <n v="5"/>
    <n v="160"/>
    <n v="800"/>
    <x v="1"/>
    <s v="Not Eligible"/>
    <s v="Digital"/>
  </r>
  <r>
    <x v="3"/>
    <x v="0"/>
    <x v="0"/>
    <n v="35"/>
    <n v="200"/>
    <n v="7000"/>
    <x v="2"/>
    <s v="Not Eligible"/>
    <s v="Cash"/>
  </r>
  <r>
    <x v="3"/>
    <x v="4"/>
    <x v="0"/>
    <n v="10"/>
    <n v="250"/>
    <n v="2500"/>
    <x v="1"/>
    <s v="Not Eligible"/>
    <s v="Digital"/>
  </r>
  <r>
    <x v="3"/>
    <x v="1"/>
    <x v="1"/>
    <n v="56"/>
    <n v="70"/>
    <n v="3920"/>
    <x v="2"/>
    <s v="Eligible"/>
    <s v="Cash"/>
  </r>
  <r>
    <x v="3"/>
    <x v="3"/>
    <x v="0"/>
    <n v="11"/>
    <n v="160"/>
    <n v="1760"/>
    <x v="2"/>
    <s v="Not Eligible"/>
    <s v="Cash"/>
  </r>
  <r>
    <x v="3"/>
    <x v="9"/>
    <x v="1"/>
    <n v="13"/>
    <n v="40"/>
    <n v="520"/>
    <x v="0"/>
    <s v="Not Eligible"/>
    <s v="Digital"/>
  </r>
  <r>
    <x v="4"/>
    <x v="4"/>
    <x v="0"/>
    <n v="13"/>
    <n v="250"/>
    <n v="3250"/>
    <x v="2"/>
    <s v="Not Eligible"/>
    <s v="Cash"/>
  </r>
  <r>
    <x v="4"/>
    <x v="2"/>
    <x v="0"/>
    <n v="13"/>
    <n v="180"/>
    <n v="2340"/>
    <x v="1"/>
    <s v="Not Eligible"/>
    <s v="Digital"/>
  </r>
  <r>
    <x v="4"/>
    <x v="4"/>
    <x v="0"/>
    <n v="18"/>
    <n v="250"/>
    <n v="4500"/>
    <x v="0"/>
    <s v="Not Eligible"/>
    <s v="Digital"/>
  </r>
  <r>
    <x v="4"/>
    <x v="8"/>
    <x v="2"/>
    <n v="8"/>
    <n v="90"/>
    <n v="720"/>
    <x v="1"/>
    <s v="Not Eligible"/>
    <s v="Digital"/>
  </r>
  <r>
    <x v="4"/>
    <x v="0"/>
    <x v="0"/>
    <n v="5"/>
    <n v="200"/>
    <n v="1000"/>
    <x v="1"/>
    <s v="Not Eligible"/>
    <s v="Digital"/>
  </r>
  <r>
    <x v="4"/>
    <x v="0"/>
    <x v="0"/>
    <n v="10"/>
    <n v="200"/>
    <n v="2000"/>
    <x v="1"/>
    <s v="Not Eligible"/>
    <s v="Digital"/>
  </r>
  <r>
    <x v="5"/>
    <x v="6"/>
    <x v="0"/>
    <n v="18"/>
    <n v="220"/>
    <n v="3960"/>
    <x v="0"/>
    <s v="Not Eligible"/>
    <s v="Digital"/>
  </r>
  <r>
    <x v="5"/>
    <x v="8"/>
    <x v="2"/>
    <n v="13"/>
    <n v="90"/>
    <n v="1170"/>
    <x v="1"/>
    <s v="Not Eligible"/>
    <s v="Digital"/>
  </r>
  <r>
    <x v="5"/>
    <x v="1"/>
    <x v="1"/>
    <n v="3"/>
    <n v="70"/>
    <n v="210"/>
    <x v="2"/>
    <s v="Not Eligible"/>
    <s v="Cash"/>
  </r>
  <r>
    <x v="5"/>
    <x v="1"/>
    <x v="1"/>
    <n v="13"/>
    <n v="70"/>
    <n v="910"/>
    <x v="0"/>
    <s v="Not Eligible"/>
    <s v="Digital"/>
  </r>
  <r>
    <x v="5"/>
    <x v="3"/>
    <x v="0"/>
    <n v="10"/>
    <n v="160"/>
    <n v="1600"/>
    <x v="0"/>
    <s v="Not Eligible"/>
    <s v="Digital"/>
  </r>
  <r>
    <x v="6"/>
    <x v="1"/>
    <x v="1"/>
    <n v="11"/>
    <n v="70"/>
    <n v="770"/>
    <x v="1"/>
    <s v="Not Eligible"/>
    <s v="Digital"/>
  </r>
  <r>
    <x v="6"/>
    <x v="6"/>
    <x v="0"/>
    <n v="6"/>
    <n v="220"/>
    <n v="1320"/>
    <x v="1"/>
    <s v="Not Eligible"/>
    <s v="Digital"/>
  </r>
  <r>
    <x v="6"/>
    <x v="3"/>
    <x v="0"/>
    <n v="9"/>
    <n v="160"/>
    <n v="1440"/>
    <x v="2"/>
    <s v="Not Eligible"/>
    <s v="Cash"/>
  </r>
  <r>
    <x v="6"/>
    <x v="2"/>
    <x v="0"/>
    <n v="3"/>
    <n v="180"/>
    <n v="540"/>
    <x v="1"/>
    <s v="Not Eligible"/>
    <s v="Digital"/>
  </r>
  <r>
    <x v="6"/>
    <x v="6"/>
    <x v="0"/>
    <n v="6"/>
    <n v="220"/>
    <n v="1320"/>
    <x v="1"/>
    <s v="Not Eligible"/>
    <s v="Digital"/>
  </r>
  <r>
    <x v="6"/>
    <x v="1"/>
    <x v="1"/>
    <n v="12"/>
    <n v="70"/>
    <n v="840"/>
    <x v="0"/>
    <s v="Not Eligible"/>
    <s v="Digital"/>
  </r>
  <r>
    <x v="7"/>
    <x v="10"/>
    <x v="1"/>
    <n v="5"/>
    <n v="30"/>
    <n v="150"/>
    <x v="1"/>
    <s v="Not Eligible"/>
    <s v="Digital"/>
  </r>
  <r>
    <x v="7"/>
    <x v="11"/>
    <x v="2"/>
    <n v="28"/>
    <n v="150"/>
    <n v="4200"/>
    <x v="2"/>
    <s v="Not Eligible"/>
    <s v="Cash"/>
  </r>
  <r>
    <x v="7"/>
    <x v="4"/>
    <x v="0"/>
    <n v="28"/>
    <n v="250"/>
    <n v="7000"/>
    <x v="0"/>
    <s v="Not Eligible"/>
    <s v="Digital"/>
  </r>
  <r>
    <x v="7"/>
    <x v="1"/>
    <x v="1"/>
    <n v="16"/>
    <n v="70"/>
    <n v="1120"/>
    <x v="1"/>
    <s v="Not Eligible"/>
    <s v="Digital"/>
  </r>
  <r>
    <x v="7"/>
    <x v="2"/>
    <x v="0"/>
    <n v="9"/>
    <n v="180"/>
    <n v="1620"/>
    <x v="1"/>
    <s v="Not Eligible"/>
    <s v="Digital"/>
  </r>
  <r>
    <x v="7"/>
    <x v="4"/>
    <x v="0"/>
    <n v="14"/>
    <n v="250"/>
    <n v="3500"/>
    <x v="0"/>
    <s v="Not Eligible"/>
    <s v="Digital"/>
  </r>
  <r>
    <x v="8"/>
    <x v="4"/>
    <x v="0"/>
    <n v="10"/>
    <n v="250"/>
    <n v="2500"/>
    <x v="0"/>
    <s v="Not Eligible"/>
    <s v="Digital"/>
  </r>
  <r>
    <x v="8"/>
    <x v="3"/>
    <x v="0"/>
    <n v="10"/>
    <n v="160"/>
    <n v="1600"/>
    <x v="1"/>
    <s v="Not Eligible"/>
    <s v="Digital"/>
  </r>
  <r>
    <x v="8"/>
    <x v="0"/>
    <x v="0"/>
    <n v="4"/>
    <n v="200"/>
    <n v="800"/>
    <x v="0"/>
    <s v="Not Eligible"/>
    <s v="Digital"/>
  </r>
  <r>
    <x v="8"/>
    <x v="9"/>
    <x v="1"/>
    <n v="58"/>
    <n v="40"/>
    <n v="2320"/>
    <x v="0"/>
    <s v="Eligible"/>
    <s v="Digital"/>
  </r>
  <r>
    <x v="8"/>
    <x v="6"/>
    <x v="0"/>
    <n v="45"/>
    <n v="220"/>
    <n v="9900"/>
    <x v="1"/>
    <s v="Not Eligible"/>
    <s v="Digital"/>
  </r>
  <r>
    <x v="8"/>
    <x v="1"/>
    <x v="1"/>
    <n v="55"/>
    <n v="70"/>
    <n v="3850"/>
    <x v="0"/>
    <s v="Eligible"/>
    <s v="Digital"/>
  </r>
  <r>
    <x v="9"/>
    <x v="0"/>
    <x v="0"/>
    <n v="6"/>
    <n v="200"/>
    <n v="1200"/>
    <x v="1"/>
    <s v="Not Eligible"/>
    <s v="Digital"/>
  </r>
  <r>
    <x v="9"/>
    <x v="3"/>
    <x v="0"/>
    <n v="38"/>
    <n v="160"/>
    <n v="6080"/>
    <x v="0"/>
    <s v="Not Eligible"/>
    <s v="Digital"/>
  </r>
  <r>
    <x v="9"/>
    <x v="2"/>
    <x v="0"/>
    <n v="6"/>
    <n v="180"/>
    <n v="1080"/>
    <x v="2"/>
    <s v="Not Eligible"/>
    <s v="Cash"/>
  </r>
  <r>
    <x v="9"/>
    <x v="2"/>
    <x v="0"/>
    <n v="6"/>
    <n v="180"/>
    <n v="1080"/>
    <x v="0"/>
    <s v="Not Eligible"/>
    <s v="Digital"/>
  </r>
  <r>
    <x v="9"/>
    <x v="0"/>
    <x v="0"/>
    <n v="35"/>
    <n v="200"/>
    <n v="7000"/>
    <x v="2"/>
    <s v="Not Eligible"/>
    <s v="Cash"/>
  </r>
  <r>
    <x v="10"/>
    <x v="3"/>
    <x v="0"/>
    <n v="10"/>
    <n v="160"/>
    <n v="1600"/>
    <x v="1"/>
    <s v="Not Eligible"/>
    <s v="Digital"/>
  </r>
  <r>
    <x v="10"/>
    <x v="0"/>
    <x v="0"/>
    <n v="29"/>
    <n v="200"/>
    <n v="5800"/>
    <x v="2"/>
    <s v="Not Eligible"/>
    <s v="Cash"/>
  </r>
  <r>
    <x v="10"/>
    <x v="8"/>
    <x v="2"/>
    <n v="3"/>
    <n v="90"/>
    <n v="270"/>
    <x v="1"/>
    <s v="Not Eligible"/>
    <s v="Digital"/>
  </r>
  <r>
    <x v="10"/>
    <x v="9"/>
    <x v="1"/>
    <n v="59"/>
    <n v="40"/>
    <n v="2360"/>
    <x v="0"/>
    <s v="Eligible"/>
    <s v="Digital"/>
  </r>
  <r>
    <x v="11"/>
    <x v="1"/>
    <x v="1"/>
    <n v="5"/>
    <n v="70"/>
    <n v="350"/>
    <x v="2"/>
    <s v="Not Eligible"/>
    <s v="Cash"/>
  </r>
  <r>
    <x v="11"/>
    <x v="4"/>
    <x v="0"/>
    <n v="21"/>
    <n v="250"/>
    <n v="5250"/>
    <x v="0"/>
    <s v="Not Eligible"/>
    <s v="Digital"/>
  </r>
  <r>
    <x v="11"/>
    <x v="5"/>
    <x v="0"/>
    <n v="22"/>
    <n v="120"/>
    <n v="2640"/>
    <x v="2"/>
    <s v="Not Eligible"/>
    <s v="Cash"/>
  </r>
  <r>
    <x v="11"/>
    <x v="3"/>
    <x v="0"/>
    <n v="5"/>
    <n v="160"/>
    <n v="800"/>
    <x v="1"/>
    <s v="Not Eligible"/>
    <s v="Digital"/>
  </r>
  <r>
    <x v="12"/>
    <x v="0"/>
    <x v="0"/>
    <n v="16"/>
    <n v="200"/>
    <n v="3200"/>
    <x v="2"/>
    <s v="Not Eligible"/>
    <s v="Cash"/>
  </r>
  <r>
    <x v="12"/>
    <x v="6"/>
    <x v="0"/>
    <n v="30"/>
    <n v="220"/>
    <n v="6600"/>
    <x v="2"/>
    <s v="Not Eligible"/>
    <s v="Cash"/>
  </r>
  <r>
    <x v="12"/>
    <x v="6"/>
    <x v="0"/>
    <n v="10"/>
    <n v="220"/>
    <n v="2200"/>
    <x v="2"/>
    <s v="Not Eligible"/>
    <s v="Cash"/>
  </r>
  <r>
    <x v="12"/>
    <x v="0"/>
    <x v="0"/>
    <n v="12"/>
    <n v="200"/>
    <n v="2400"/>
    <x v="0"/>
    <s v="Not Eligible"/>
    <s v="Digital"/>
  </r>
  <r>
    <x v="12"/>
    <x v="10"/>
    <x v="1"/>
    <n v="12"/>
    <n v="30"/>
    <n v="360"/>
    <x v="2"/>
    <s v="Not Eligible"/>
    <s v="Cash"/>
  </r>
  <r>
    <x v="12"/>
    <x v="0"/>
    <x v="0"/>
    <n v="55"/>
    <n v="200"/>
    <n v="11000"/>
    <x v="1"/>
    <s v="Not Eligible"/>
    <s v="Digital"/>
  </r>
  <r>
    <x v="13"/>
    <x v="5"/>
    <x v="0"/>
    <n v="13"/>
    <n v="120"/>
    <n v="1560"/>
    <x v="0"/>
    <s v="Not Eligible"/>
    <s v="Digital"/>
  </r>
  <r>
    <x v="13"/>
    <x v="4"/>
    <x v="0"/>
    <n v="12"/>
    <n v="250"/>
    <n v="3000"/>
    <x v="0"/>
    <s v="Not Eligible"/>
    <s v="Digital"/>
  </r>
  <r>
    <x v="13"/>
    <x v="9"/>
    <x v="1"/>
    <n v="70"/>
    <n v="40"/>
    <n v="2800"/>
    <x v="1"/>
    <s v="Eligible"/>
    <s v="Digital"/>
  </r>
  <r>
    <x v="13"/>
    <x v="8"/>
    <x v="2"/>
    <n v="5"/>
    <n v="90"/>
    <n v="450"/>
    <x v="1"/>
    <s v="Not Eligible"/>
    <s v="Digital"/>
  </r>
  <r>
    <x v="14"/>
    <x v="3"/>
    <x v="0"/>
    <n v="14"/>
    <n v="160"/>
    <n v="2240"/>
    <x v="1"/>
    <s v="Not Eligible"/>
    <s v="Digital"/>
  </r>
  <r>
    <x v="14"/>
    <x v="1"/>
    <x v="1"/>
    <n v="14"/>
    <n v="70"/>
    <n v="980"/>
    <x v="0"/>
    <s v="Not Eligible"/>
    <s v="Digital"/>
  </r>
  <r>
    <x v="14"/>
    <x v="6"/>
    <x v="0"/>
    <n v="32"/>
    <n v="220"/>
    <n v="7040"/>
    <x v="1"/>
    <s v="Not Eligible"/>
    <s v="Digital"/>
  </r>
  <r>
    <x v="14"/>
    <x v="8"/>
    <x v="2"/>
    <n v="3"/>
    <n v="90"/>
    <n v="270"/>
    <x v="1"/>
    <s v="Not Eligible"/>
    <s v="Digital"/>
  </r>
  <r>
    <x v="14"/>
    <x v="6"/>
    <x v="0"/>
    <n v="6"/>
    <n v="220"/>
    <n v="1320"/>
    <x v="1"/>
    <s v="Not Eligible"/>
    <s v="Digital"/>
  </r>
  <r>
    <x v="14"/>
    <x v="0"/>
    <x v="0"/>
    <n v="6"/>
    <n v="200"/>
    <n v="1200"/>
    <x v="1"/>
    <s v="Not Eligible"/>
    <s v="Digital"/>
  </r>
  <r>
    <x v="15"/>
    <x v="6"/>
    <x v="0"/>
    <n v="11"/>
    <n v="220"/>
    <n v="2420"/>
    <x v="0"/>
    <s v="Not Eligible"/>
    <s v="Digital"/>
  </r>
  <r>
    <x v="15"/>
    <x v="0"/>
    <x v="0"/>
    <n v="13"/>
    <n v="200"/>
    <n v="2600"/>
    <x v="2"/>
    <s v="Not Eligible"/>
    <s v="Cash"/>
  </r>
  <r>
    <x v="15"/>
    <x v="5"/>
    <x v="0"/>
    <n v="11"/>
    <n v="120"/>
    <n v="1320"/>
    <x v="1"/>
    <s v="Not Eligible"/>
    <s v="Digital"/>
  </r>
  <r>
    <x v="15"/>
    <x v="3"/>
    <x v="0"/>
    <n v="4"/>
    <n v="160"/>
    <n v="640"/>
    <x v="2"/>
    <s v="Not Eligible"/>
    <s v="Cash"/>
  </r>
  <r>
    <x v="15"/>
    <x v="4"/>
    <x v="0"/>
    <n v="45"/>
    <n v="250"/>
    <n v="11250"/>
    <x v="2"/>
    <s v="Not Eligible"/>
    <s v="Cash"/>
  </r>
  <r>
    <x v="15"/>
    <x v="3"/>
    <x v="0"/>
    <n v="7"/>
    <n v="160"/>
    <n v="1120"/>
    <x v="1"/>
    <s v="Not Eligible"/>
    <s v="Digital"/>
  </r>
  <r>
    <x v="16"/>
    <x v="0"/>
    <x v="0"/>
    <n v="47"/>
    <n v="200"/>
    <n v="9400"/>
    <x v="1"/>
    <s v="Not Eligible"/>
    <s v="Digital"/>
  </r>
  <r>
    <x v="16"/>
    <x v="4"/>
    <x v="0"/>
    <n v="3"/>
    <n v="250"/>
    <n v="750"/>
    <x v="2"/>
    <s v="Not Eligible"/>
    <s v="Cash"/>
  </r>
  <r>
    <x v="16"/>
    <x v="10"/>
    <x v="1"/>
    <n v="7"/>
    <n v="30"/>
    <n v="210"/>
    <x v="1"/>
    <s v="Not Eligible"/>
    <s v="Digital"/>
  </r>
  <r>
    <x v="16"/>
    <x v="6"/>
    <x v="0"/>
    <n v="7"/>
    <n v="220"/>
    <n v="1540"/>
    <x v="0"/>
    <s v="Not Eligible"/>
    <s v="Digital"/>
  </r>
  <r>
    <x v="16"/>
    <x v="0"/>
    <x v="0"/>
    <n v="22"/>
    <n v="200"/>
    <n v="4400"/>
    <x v="1"/>
    <s v="Not Eligible"/>
    <s v="Digital"/>
  </r>
  <r>
    <x v="17"/>
    <x v="1"/>
    <x v="1"/>
    <n v="9"/>
    <n v="70"/>
    <n v="630"/>
    <x v="1"/>
    <s v="Not Eligible"/>
    <s v="Digital"/>
  </r>
  <r>
    <x v="17"/>
    <x v="3"/>
    <x v="0"/>
    <n v="16"/>
    <n v="160"/>
    <n v="2560"/>
    <x v="1"/>
    <s v="Not Eligible"/>
    <s v="Digital"/>
  </r>
  <r>
    <x v="17"/>
    <x v="2"/>
    <x v="0"/>
    <n v="10"/>
    <n v="180"/>
    <n v="1800"/>
    <x v="1"/>
    <s v="Not Eligible"/>
    <s v="Digital"/>
  </r>
  <r>
    <x v="17"/>
    <x v="11"/>
    <x v="2"/>
    <n v="8"/>
    <n v="150"/>
    <n v="1200"/>
    <x v="1"/>
    <s v="Not Eligible"/>
    <s v="Digital"/>
  </r>
  <r>
    <x v="18"/>
    <x v="0"/>
    <x v="0"/>
    <n v="35"/>
    <n v="200"/>
    <n v="7000"/>
    <x v="1"/>
    <s v="Not Eligible"/>
    <s v="Digital"/>
  </r>
  <r>
    <x v="18"/>
    <x v="4"/>
    <x v="0"/>
    <n v="12"/>
    <n v="250"/>
    <n v="3000"/>
    <x v="0"/>
    <s v="Not Eligible"/>
    <s v="Digital"/>
  </r>
  <r>
    <x v="18"/>
    <x v="7"/>
    <x v="1"/>
    <n v="7"/>
    <n v="80"/>
    <n v="560"/>
    <x v="2"/>
    <s v="Not Eligible"/>
    <s v="Cash"/>
  </r>
  <r>
    <x v="18"/>
    <x v="4"/>
    <x v="0"/>
    <n v="25"/>
    <n v="250"/>
    <n v="6250"/>
    <x v="1"/>
    <s v="Not Eligible"/>
    <s v="Digital"/>
  </r>
  <r>
    <x v="19"/>
    <x v="3"/>
    <x v="0"/>
    <n v="12"/>
    <n v="160"/>
    <n v="1920"/>
    <x v="0"/>
    <s v="Not Eligible"/>
    <s v="Digital"/>
  </r>
  <r>
    <x v="19"/>
    <x v="5"/>
    <x v="0"/>
    <n v="18"/>
    <n v="120"/>
    <n v="2160"/>
    <x v="0"/>
    <s v="Not Eligible"/>
    <s v="Digital"/>
  </r>
  <r>
    <x v="19"/>
    <x v="1"/>
    <x v="1"/>
    <n v="13"/>
    <n v="70"/>
    <n v="910"/>
    <x v="1"/>
    <s v="Not Eligible"/>
    <s v="Digital"/>
  </r>
  <r>
    <x v="19"/>
    <x v="5"/>
    <x v="0"/>
    <n v="16"/>
    <n v="120"/>
    <n v="1920"/>
    <x v="1"/>
    <s v="Not Eligible"/>
    <s v="Digital"/>
  </r>
  <r>
    <x v="19"/>
    <x v="0"/>
    <x v="0"/>
    <n v="45"/>
    <n v="200"/>
    <n v="9000"/>
    <x v="2"/>
    <s v="Not Eligible"/>
    <s v="Cash"/>
  </r>
  <r>
    <x v="20"/>
    <x v="0"/>
    <x v="0"/>
    <n v="16"/>
    <n v="200"/>
    <n v="3200"/>
    <x v="0"/>
    <s v="Not Eligible"/>
    <s v="Digital"/>
  </r>
  <r>
    <x v="20"/>
    <x v="7"/>
    <x v="1"/>
    <n v="16"/>
    <n v="80"/>
    <n v="1280"/>
    <x v="1"/>
    <s v="Not Eligible"/>
    <s v="Digital"/>
  </r>
  <r>
    <x v="20"/>
    <x v="4"/>
    <x v="0"/>
    <n v="9"/>
    <n v="250"/>
    <n v="2250"/>
    <x v="0"/>
    <s v="Not Eligible"/>
    <s v="Digital"/>
  </r>
  <r>
    <x v="20"/>
    <x v="2"/>
    <x v="0"/>
    <n v="3"/>
    <n v="180"/>
    <n v="540"/>
    <x v="1"/>
    <s v="Not Eligible"/>
    <s v="Digital"/>
  </r>
  <r>
    <x v="20"/>
    <x v="7"/>
    <x v="1"/>
    <n v="9"/>
    <n v="80"/>
    <n v="720"/>
    <x v="2"/>
    <s v="Not Eligible"/>
    <s v="Cash"/>
  </r>
  <r>
    <x v="21"/>
    <x v="9"/>
    <x v="1"/>
    <n v="13"/>
    <n v="40"/>
    <n v="520"/>
    <x v="2"/>
    <s v="Not Eligible"/>
    <s v="Cash"/>
  </r>
  <r>
    <x v="21"/>
    <x v="9"/>
    <x v="1"/>
    <n v="12"/>
    <n v="40"/>
    <n v="480"/>
    <x v="0"/>
    <s v="Not Eligible"/>
    <s v="Digital"/>
  </r>
  <r>
    <x v="21"/>
    <x v="5"/>
    <x v="0"/>
    <n v="7"/>
    <n v="120"/>
    <n v="840"/>
    <x v="2"/>
    <s v="Not Eligible"/>
    <s v="Cash"/>
  </r>
  <r>
    <x v="21"/>
    <x v="5"/>
    <x v="0"/>
    <n v="15"/>
    <n v="120"/>
    <n v="1800"/>
    <x v="1"/>
    <s v="Not Eligible"/>
    <s v="Digital"/>
  </r>
  <r>
    <x v="21"/>
    <x v="9"/>
    <x v="1"/>
    <n v="12"/>
    <n v="40"/>
    <n v="480"/>
    <x v="1"/>
    <s v="Not Eligible"/>
    <s v="Digital"/>
  </r>
  <r>
    <x v="21"/>
    <x v="3"/>
    <x v="0"/>
    <n v="9"/>
    <n v="160"/>
    <n v="1440"/>
    <x v="0"/>
    <s v="Not Eligible"/>
    <s v="Digital"/>
  </r>
  <r>
    <x v="22"/>
    <x v="5"/>
    <x v="0"/>
    <n v="13"/>
    <n v="120"/>
    <n v="1560"/>
    <x v="0"/>
    <s v="Not Eligible"/>
    <s v="Digital"/>
  </r>
  <r>
    <x v="22"/>
    <x v="4"/>
    <x v="0"/>
    <n v="9"/>
    <n v="250"/>
    <n v="2250"/>
    <x v="1"/>
    <s v="Not Eligible"/>
    <s v="Digital"/>
  </r>
  <r>
    <x v="22"/>
    <x v="7"/>
    <x v="1"/>
    <n v="8"/>
    <n v="80"/>
    <n v="640"/>
    <x v="0"/>
    <s v="Not Eligible"/>
    <s v="Digital"/>
  </r>
  <r>
    <x v="22"/>
    <x v="5"/>
    <x v="0"/>
    <n v="22"/>
    <n v="120"/>
    <n v="2640"/>
    <x v="2"/>
    <s v="Not Eligible"/>
    <s v="Cash"/>
  </r>
  <r>
    <x v="22"/>
    <x v="10"/>
    <x v="1"/>
    <n v="45"/>
    <n v="30"/>
    <n v="1350"/>
    <x v="0"/>
    <s v="Not Eligible"/>
    <s v="Digital"/>
  </r>
  <r>
    <x v="22"/>
    <x v="0"/>
    <x v="0"/>
    <n v="39"/>
    <n v="200"/>
    <n v="7800"/>
    <x v="2"/>
    <s v="Not Eligible"/>
    <s v="Cash"/>
  </r>
  <r>
    <x v="23"/>
    <x v="5"/>
    <x v="0"/>
    <n v="5"/>
    <n v="120"/>
    <n v="600"/>
    <x v="0"/>
    <s v="Not Eligible"/>
    <s v="Digital"/>
  </r>
  <r>
    <x v="23"/>
    <x v="1"/>
    <x v="1"/>
    <n v="9"/>
    <n v="70"/>
    <n v="630"/>
    <x v="0"/>
    <s v="Not Eligible"/>
    <s v="Digital"/>
  </r>
  <r>
    <x v="23"/>
    <x v="4"/>
    <x v="0"/>
    <n v="21"/>
    <n v="250"/>
    <n v="5250"/>
    <x v="1"/>
    <s v="Not Eligible"/>
    <s v="Digital"/>
  </r>
  <r>
    <x v="23"/>
    <x v="0"/>
    <x v="0"/>
    <n v="28"/>
    <n v="200"/>
    <n v="5600"/>
    <x v="1"/>
    <s v="Not Eligible"/>
    <s v="Digital"/>
  </r>
  <r>
    <x v="23"/>
    <x v="0"/>
    <x v="0"/>
    <n v="17"/>
    <n v="200"/>
    <n v="3400"/>
    <x v="2"/>
    <s v="Not Eligible"/>
    <s v="Cash"/>
  </r>
  <r>
    <x v="24"/>
    <x v="9"/>
    <x v="1"/>
    <n v="6"/>
    <n v="40"/>
    <n v="240"/>
    <x v="1"/>
    <s v="Not Eligible"/>
    <s v="Digital"/>
  </r>
  <r>
    <x v="24"/>
    <x v="5"/>
    <x v="0"/>
    <n v="13"/>
    <n v="120"/>
    <n v="1560"/>
    <x v="1"/>
    <s v="Not Eligible"/>
    <s v="Digital"/>
  </r>
  <r>
    <x v="24"/>
    <x v="1"/>
    <x v="1"/>
    <n v="16"/>
    <n v="70"/>
    <n v="1120"/>
    <x v="1"/>
    <s v="Not Eligible"/>
    <s v="Digital"/>
  </r>
  <r>
    <x v="24"/>
    <x v="1"/>
    <x v="1"/>
    <n v="18"/>
    <n v="70"/>
    <n v="1260"/>
    <x v="1"/>
    <s v="Not Eligible"/>
    <s v="Digital"/>
  </r>
  <r>
    <x v="25"/>
    <x v="3"/>
    <x v="0"/>
    <n v="22"/>
    <n v="160"/>
    <n v="3520"/>
    <x v="1"/>
    <s v="Not Eligible"/>
    <s v="Digital"/>
  </r>
  <r>
    <x v="25"/>
    <x v="3"/>
    <x v="0"/>
    <n v="6"/>
    <n v="160"/>
    <n v="960"/>
    <x v="1"/>
    <s v="Not Eligible"/>
    <s v="Digital"/>
  </r>
  <r>
    <x v="25"/>
    <x v="3"/>
    <x v="0"/>
    <n v="16"/>
    <n v="160"/>
    <n v="2560"/>
    <x v="0"/>
    <s v="Not Eligible"/>
    <s v="Digital"/>
  </r>
  <r>
    <x v="25"/>
    <x v="6"/>
    <x v="0"/>
    <n v="8"/>
    <n v="220"/>
    <n v="1760"/>
    <x v="2"/>
    <s v="Not Eligible"/>
    <s v="Cash"/>
  </r>
  <r>
    <x v="25"/>
    <x v="4"/>
    <x v="0"/>
    <n v="15"/>
    <n v="250"/>
    <n v="3750"/>
    <x v="1"/>
    <s v="Not Eligible"/>
    <s v="Digital"/>
  </r>
  <r>
    <x v="25"/>
    <x v="0"/>
    <x v="0"/>
    <n v="20"/>
    <n v="200"/>
    <n v="4000"/>
    <x v="0"/>
    <s v="Not Eligible"/>
    <s v="Digital"/>
  </r>
  <r>
    <x v="26"/>
    <x v="4"/>
    <x v="0"/>
    <n v="11"/>
    <n v="250"/>
    <n v="2750"/>
    <x v="1"/>
    <s v="Not Eligible"/>
    <s v="Digital"/>
  </r>
  <r>
    <x v="26"/>
    <x v="4"/>
    <x v="0"/>
    <n v="3"/>
    <n v="250"/>
    <n v="750"/>
    <x v="1"/>
    <s v="Not Eligible"/>
    <s v="Digital"/>
  </r>
  <r>
    <x v="26"/>
    <x v="2"/>
    <x v="0"/>
    <n v="18"/>
    <n v="180"/>
    <n v="3240"/>
    <x v="0"/>
    <s v="Not Eligible"/>
    <s v="Digital"/>
  </r>
  <r>
    <x v="26"/>
    <x v="10"/>
    <x v="1"/>
    <n v="15"/>
    <n v="30"/>
    <n v="450"/>
    <x v="1"/>
    <s v="Not Eligible"/>
    <s v="Digital"/>
  </r>
  <r>
    <x v="26"/>
    <x v="10"/>
    <x v="1"/>
    <n v="20"/>
    <n v="30"/>
    <n v="600"/>
    <x v="1"/>
    <s v="Not Eligible"/>
    <s v="Digital"/>
  </r>
  <r>
    <x v="27"/>
    <x v="1"/>
    <x v="1"/>
    <n v="18"/>
    <n v="70"/>
    <n v="1260"/>
    <x v="0"/>
    <s v="Not Eligible"/>
    <s v="Digital"/>
  </r>
  <r>
    <x v="27"/>
    <x v="0"/>
    <x v="0"/>
    <n v="45"/>
    <n v="200"/>
    <n v="9000"/>
    <x v="1"/>
    <s v="Not Eligible"/>
    <s v="Digital"/>
  </r>
  <r>
    <x v="27"/>
    <x v="7"/>
    <x v="1"/>
    <n v="8"/>
    <n v="80"/>
    <n v="640"/>
    <x v="1"/>
    <s v="Not Eligible"/>
    <s v="Digital"/>
  </r>
  <r>
    <x v="27"/>
    <x v="8"/>
    <x v="2"/>
    <n v="3"/>
    <n v="90"/>
    <n v="270"/>
    <x v="1"/>
    <s v="Not Eligible"/>
    <s v="Digital"/>
  </r>
  <r>
    <x v="27"/>
    <x v="6"/>
    <x v="0"/>
    <n v="3"/>
    <n v="220"/>
    <n v="660"/>
    <x v="2"/>
    <s v="Not Eligible"/>
    <s v="Cash"/>
  </r>
  <r>
    <x v="27"/>
    <x v="4"/>
    <x v="0"/>
    <n v="17"/>
    <n v="250"/>
    <n v="4250"/>
    <x v="2"/>
    <s v="Not Eligible"/>
    <s v="Cash"/>
  </r>
  <r>
    <x v="28"/>
    <x v="4"/>
    <x v="0"/>
    <n v="9"/>
    <n v="250"/>
    <n v="2250"/>
    <x v="0"/>
    <s v="Not Eligible"/>
    <s v="Digital"/>
  </r>
  <r>
    <x v="28"/>
    <x v="3"/>
    <x v="0"/>
    <n v="15"/>
    <n v="160"/>
    <n v="2400"/>
    <x v="0"/>
    <s v="Not Eligible"/>
    <s v="Digital"/>
  </r>
  <r>
    <x v="28"/>
    <x v="10"/>
    <x v="1"/>
    <n v="59"/>
    <n v="30"/>
    <n v="1770"/>
    <x v="2"/>
    <s v="Eligible"/>
    <s v="Cash"/>
  </r>
  <r>
    <x v="28"/>
    <x v="0"/>
    <x v="0"/>
    <n v="24"/>
    <n v="200"/>
    <n v="4800"/>
    <x v="1"/>
    <s v="Not Eligible"/>
    <s v="Digital"/>
  </r>
  <r>
    <x v="28"/>
    <x v="3"/>
    <x v="0"/>
    <n v="5"/>
    <n v="160"/>
    <n v="800"/>
    <x v="1"/>
    <s v="Not Eligible"/>
    <s v="Digital"/>
  </r>
  <r>
    <x v="29"/>
    <x v="0"/>
    <x v="0"/>
    <n v="26"/>
    <n v="200"/>
    <n v="5200"/>
    <x v="1"/>
    <s v="Not Eligible"/>
    <s v="Digital"/>
  </r>
  <r>
    <x v="29"/>
    <x v="0"/>
    <x v="0"/>
    <n v="3"/>
    <n v="200"/>
    <n v="600"/>
    <x v="1"/>
    <s v="Not Eligible"/>
    <s v="Digital"/>
  </r>
  <r>
    <x v="29"/>
    <x v="3"/>
    <x v="0"/>
    <n v="18"/>
    <n v="160"/>
    <n v="2880"/>
    <x v="1"/>
    <s v="Not Eligible"/>
    <s v="Digital"/>
  </r>
  <r>
    <x v="29"/>
    <x v="6"/>
    <x v="0"/>
    <n v="22"/>
    <n v="220"/>
    <n v="4840"/>
    <x v="0"/>
    <s v="Not Eligible"/>
    <s v="Digital"/>
  </r>
  <r>
    <x v="29"/>
    <x v="3"/>
    <x v="0"/>
    <n v="14"/>
    <n v="160"/>
    <n v="2240"/>
    <x v="2"/>
    <s v="Not Eligible"/>
    <s v="Cash"/>
  </r>
  <r>
    <x v="29"/>
    <x v="5"/>
    <x v="0"/>
    <n v="6"/>
    <n v="120"/>
    <n v="720"/>
    <x v="1"/>
    <s v="Not Eligible"/>
    <s v="Digit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0B2FED-DDA1-4304-B7FD-422788FFECB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2:E18" firstHeaderRow="1" firstDataRow="1" firstDataCol="1"/>
  <pivotFields count="9">
    <pivotField numFmtId="164" showAll="0"/>
    <pivotField axis="axisRow" showAll="0" measureFilter="1" sortType="descending">
      <items count="13">
        <item x="3"/>
        <item x="2"/>
        <item x="10"/>
        <item x="9"/>
        <item x="4"/>
        <item x="8"/>
        <item x="1"/>
        <item x="5"/>
        <item x="7"/>
        <item x="11"/>
        <item x="0"/>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numFmtId="167" showAll="0"/>
    <pivotField dataField="1" numFmtId="167" showAll="0"/>
    <pivotField showAll="0">
      <items count="4">
        <item x="0"/>
        <item x="2"/>
        <item x="1"/>
        <item t="default"/>
      </items>
    </pivotField>
    <pivotField showAll="0"/>
    <pivotField showAll="0"/>
  </pivotFields>
  <rowFields count="1">
    <field x="1"/>
  </rowFields>
  <rowItems count="6">
    <i>
      <x v="10"/>
    </i>
    <i>
      <x v="4"/>
    </i>
    <i>
      <x v="11"/>
    </i>
    <i>
      <x/>
    </i>
    <i>
      <x v="6"/>
    </i>
    <i t="grand">
      <x/>
    </i>
  </rowItems>
  <colItems count="1">
    <i/>
  </colItems>
  <dataFields count="1">
    <dataField name="Sum of Total Sales (₹)" fld="5" baseField="0" baseItem="0" numFmtId="167"/>
  </dataFields>
  <formats count="9">
    <format dxfId="239">
      <pivotArea type="all" dataOnly="0" outline="0" fieldPosition="0"/>
    </format>
    <format dxfId="238">
      <pivotArea outline="0" collapsedLevelsAreSubtotals="1" fieldPosition="0"/>
    </format>
    <format dxfId="237">
      <pivotArea field="1" type="button" dataOnly="0" labelOnly="1" outline="0" axis="axisRow" fieldPosition="0"/>
    </format>
    <format dxfId="236">
      <pivotArea dataOnly="0" labelOnly="1" fieldPosition="0">
        <references count="1">
          <reference field="1" count="5">
            <x v="0"/>
            <x v="4"/>
            <x v="6"/>
            <x v="10"/>
            <x v="11"/>
          </reference>
        </references>
      </pivotArea>
    </format>
    <format dxfId="235">
      <pivotArea dataOnly="0" labelOnly="1" grandRow="1" outline="0" fieldPosition="0"/>
    </format>
    <format dxfId="234">
      <pivotArea dataOnly="0" labelOnly="1" outline="0" axis="axisValues" fieldPosition="0"/>
    </format>
    <format dxfId="233">
      <pivotArea field="1" type="button" dataOnly="0" labelOnly="1" outline="0" axis="axisRow" fieldPosition="0"/>
    </format>
    <format dxfId="232">
      <pivotArea dataOnly="0" labelOnly="1" fieldPosition="0">
        <references count="1">
          <reference field="1" count="5">
            <x v="0"/>
            <x v="4"/>
            <x v="6"/>
            <x v="10"/>
            <x v="11"/>
          </reference>
        </references>
      </pivotArea>
    </format>
    <format dxfId="231">
      <pivotArea dataOnly="0" labelOnly="1" grandRow="1" outline="0"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4"/>
          </reference>
        </references>
      </pivotArea>
    </chartFormat>
    <chartFormat chart="2" format="2">
      <pivotArea type="data" outline="0" fieldPosition="0">
        <references count="2">
          <reference field="4294967294" count="1" selected="0">
            <x v="0"/>
          </reference>
          <reference field="1" count="1" selected="0">
            <x v="10"/>
          </reference>
        </references>
      </pivotArea>
    </chartFormat>
    <chartFormat chart="2" format="3">
      <pivotArea type="data" outline="0" fieldPosition="0">
        <references count="2">
          <reference field="4294967294" count="1" selected="0">
            <x v="0"/>
          </reference>
          <reference field="1" count="1" selected="0">
            <x v="11"/>
          </reference>
        </references>
      </pivotArea>
    </chartFormat>
    <chartFormat chart="2" format="4">
      <pivotArea type="data" outline="0" fieldPosition="0">
        <references count="2">
          <reference field="4294967294" count="1" selected="0">
            <x v="0"/>
          </reference>
          <reference field="1" count="1" selected="0">
            <x v="6"/>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3159C-2847-4DD3-A370-5AA7685B4B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B41" firstHeaderRow="1" firstDataRow="1" firstDataCol="1"/>
  <pivotFields count="9">
    <pivotField axis="axisRow"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1"/>
        <item x="2"/>
        <item x="0"/>
        <item t="default"/>
      </items>
    </pivotField>
    <pivotField showAll="0"/>
    <pivotField numFmtId="167" showAll="0"/>
    <pivotField dataField="1" numFmtId="167" showAll="0"/>
    <pivotField showAll="0">
      <items count="4">
        <item x="0"/>
        <item x="2"/>
        <item x="1"/>
        <item t="default"/>
      </items>
    </pivotField>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 Sales (₹)" fld="5" baseField="0" baseItem="0" numFmtId="167"/>
  </dataFields>
  <formats count="10">
    <format dxfId="249">
      <pivotArea dataOnly="0" labelOnly="1" fieldPosition="0">
        <references count="1">
          <reference field="0" count="0"/>
        </references>
      </pivotArea>
    </format>
    <format dxfId="248">
      <pivotArea type="all" dataOnly="0" outline="0" fieldPosition="0"/>
    </format>
    <format dxfId="247">
      <pivotArea outline="0" collapsedLevelsAreSubtotals="1" fieldPosition="0"/>
    </format>
    <format dxfId="246">
      <pivotArea field="0" type="button" dataOnly="0" labelOnly="1" outline="0" axis="axisRow" fieldPosition="0"/>
    </format>
    <format dxfId="245">
      <pivotArea dataOnly="0" labelOnly="1" fieldPosition="0">
        <references count="1">
          <reference field="0" count="0"/>
        </references>
      </pivotArea>
    </format>
    <format dxfId="244">
      <pivotArea dataOnly="0" labelOnly="1" grandRow="1" outline="0" fieldPosition="0"/>
    </format>
    <format dxfId="243">
      <pivotArea dataOnly="0" labelOnly="1" outline="0" axis="axisValues" fieldPosition="0"/>
    </format>
    <format dxfId="242">
      <pivotArea field="0" type="button" dataOnly="0" labelOnly="1" outline="0" axis="axisRow" fieldPosition="0"/>
    </format>
    <format dxfId="241">
      <pivotArea dataOnly="0" labelOnly="1" fieldPosition="0">
        <references count="1">
          <reference field="0" count="0"/>
        </references>
      </pivotArea>
    </format>
    <format dxfId="240">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583CE8-48D2-4C5B-B425-449181042F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E7" firstHeaderRow="1" firstDataRow="1" firstDataCol="1"/>
  <pivotFields count="9">
    <pivotField numFmtId="164" showAll="0"/>
    <pivotField showAll="0"/>
    <pivotField showAll="0">
      <items count="4">
        <item x="1"/>
        <item x="2"/>
        <item x="0"/>
        <item t="default"/>
      </items>
    </pivotField>
    <pivotField showAll="0"/>
    <pivotField numFmtId="167" showAll="0"/>
    <pivotField dataField="1" numFmtId="167" showAll="0"/>
    <pivotField axis="axisRow" showAll="0">
      <items count="4">
        <item x="0"/>
        <item x="2"/>
        <item x="1"/>
        <item t="default"/>
      </items>
    </pivotField>
    <pivotField showAll="0"/>
    <pivotField showAll="0"/>
  </pivotFields>
  <rowFields count="1">
    <field x="6"/>
  </rowFields>
  <rowItems count="4">
    <i>
      <x/>
    </i>
    <i>
      <x v="1"/>
    </i>
    <i>
      <x v="2"/>
    </i>
    <i t="grand">
      <x/>
    </i>
  </rowItems>
  <colItems count="1">
    <i/>
  </colItems>
  <dataFields count="1">
    <dataField name="Sum of Total Sales (₹)" fld="5" baseField="0" baseItem="0" numFmtId="167"/>
  </dataFields>
  <formats count="9">
    <format dxfId="258">
      <pivotArea type="all" dataOnly="0" outline="0" fieldPosition="0"/>
    </format>
    <format dxfId="257">
      <pivotArea outline="0" collapsedLevelsAreSubtotals="1" fieldPosition="0"/>
    </format>
    <format dxfId="256">
      <pivotArea field="6" type="button" dataOnly="0" labelOnly="1" outline="0" axis="axisRow" fieldPosition="0"/>
    </format>
    <format dxfId="255">
      <pivotArea dataOnly="0" labelOnly="1" fieldPosition="0">
        <references count="1">
          <reference field="6" count="0"/>
        </references>
      </pivotArea>
    </format>
    <format dxfId="254">
      <pivotArea dataOnly="0" labelOnly="1" grandRow="1" outline="0" fieldPosition="0"/>
    </format>
    <format dxfId="253">
      <pivotArea dataOnly="0" labelOnly="1" outline="0" axis="axisValues" fieldPosition="0"/>
    </format>
    <format dxfId="252">
      <pivotArea field="6" type="button" dataOnly="0" labelOnly="1" outline="0" axis="axisRow" fieldPosition="0"/>
    </format>
    <format dxfId="251">
      <pivotArea dataOnly="0" labelOnly="1" fieldPosition="0">
        <references count="1">
          <reference field="6" count="0"/>
        </references>
      </pivotArea>
    </format>
    <format dxfId="250">
      <pivotArea dataOnly="0" labelOnly="1" grandRow="1" outline="0"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2"/>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B30CDA-F914-4CDE-B1D7-81EA7F91EE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9">
    <pivotField numFmtId="164" showAll="0"/>
    <pivotField showAll="0"/>
    <pivotField axis="axisRow" showAll="0">
      <items count="4">
        <item x="1"/>
        <item x="2"/>
        <item x="0"/>
        <item t="default"/>
      </items>
    </pivotField>
    <pivotField showAll="0"/>
    <pivotField numFmtId="167" showAll="0"/>
    <pivotField dataField="1" numFmtId="167" showAll="0"/>
    <pivotField showAll="0">
      <items count="4">
        <item x="0"/>
        <item x="2"/>
        <item x="1"/>
        <item t="default"/>
      </items>
    </pivotField>
    <pivotField showAll="0"/>
    <pivotField showAll="0"/>
  </pivotFields>
  <rowFields count="1">
    <field x="2"/>
  </rowFields>
  <rowItems count="4">
    <i>
      <x/>
    </i>
    <i>
      <x v="1"/>
    </i>
    <i>
      <x v="2"/>
    </i>
    <i t="grand">
      <x/>
    </i>
  </rowItems>
  <colItems count="1">
    <i/>
  </colItems>
  <dataFields count="1">
    <dataField name="Sum of Total Sales (₹)" fld="5" baseField="0" baseItem="0" numFmtId="167"/>
  </dataFields>
  <formats count="9">
    <format dxfId="267">
      <pivotArea type="all" dataOnly="0" outline="0" fieldPosition="0"/>
    </format>
    <format dxfId="266">
      <pivotArea outline="0" collapsedLevelsAreSubtotals="1" fieldPosition="0"/>
    </format>
    <format dxfId="265">
      <pivotArea field="2" type="button" dataOnly="0" labelOnly="1" outline="0" axis="axisRow" fieldPosition="0"/>
    </format>
    <format dxfId="264">
      <pivotArea dataOnly="0" labelOnly="1" fieldPosition="0">
        <references count="1">
          <reference field="2" count="0"/>
        </references>
      </pivotArea>
    </format>
    <format dxfId="263">
      <pivotArea dataOnly="0" labelOnly="1" grandRow="1" outline="0" fieldPosition="0"/>
    </format>
    <format dxfId="262">
      <pivotArea dataOnly="0" labelOnly="1" outline="0" axis="axisValues" fieldPosition="0"/>
    </format>
    <format dxfId="261">
      <pivotArea field="2" type="button" dataOnly="0" labelOnly="1" outline="0" axis="axisRow" fieldPosition="0"/>
    </format>
    <format dxfId="260">
      <pivotArea dataOnly="0" labelOnly="1" fieldPosition="0">
        <references count="1">
          <reference field="2" count="0"/>
        </references>
      </pivotArea>
    </format>
    <format dxfId="259">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2"/>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A61994B-85F4-48E7-AA09-7EC312BB1FC7}" sourceName="Payment Mode">
  <pivotTables>
    <pivotTable tabId="4" name="PivotTable13"/>
    <pivotTable tabId="4" name="PivotTable12"/>
    <pivotTable tabId="4" name="PivotTable3"/>
    <pivotTable tabId="4" name="PivotTable5"/>
  </pivotTables>
  <data>
    <tabular pivotCacheId="45482251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54AC8D-4B98-4877-BF36-E2A8E067DF2A}" sourceName="Category">
  <pivotTables>
    <pivotTable tabId="4" name="PivotTable3"/>
    <pivotTable tabId="4" name="PivotTable12"/>
    <pivotTable tabId="4" name="PivotTable13"/>
    <pivotTable tabId="4" name="PivotTable5"/>
  </pivotTables>
  <data>
    <tabular pivotCacheId="45482251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1007F427-B5C6-45C2-AB8F-32A5D6E302C1}" cache="Slicer_Payment_Mode" caption="Payment Mode" style="SlicerStyleDark2 2" rowHeight="234950"/>
  <slicer name="Category" xr10:uid="{DF8CD740-81BE-4587-8FA1-17834482FEA7}" cache="Slicer_Category" caption="Category" style="SlicerStyleDark5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3BC61-F65E-4448-9E1A-91D7D074A8BE}">
  <dimension ref="A1:V163"/>
  <sheetViews>
    <sheetView topLeftCell="A43" zoomScale="85" zoomScaleNormal="85" workbookViewId="0">
      <selection activeCell="I11" sqref="I11"/>
    </sheetView>
  </sheetViews>
  <sheetFormatPr defaultRowHeight="14.4" x14ac:dyDescent="0.3"/>
  <cols>
    <col min="1" max="1" width="12.33203125" customWidth="1"/>
    <col min="2" max="2" width="18.88671875" customWidth="1"/>
    <col min="3" max="3" width="18.21875" customWidth="1"/>
    <col min="4" max="4" width="19.21875" customWidth="1"/>
    <col min="5" max="5" width="18.6640625" style="9" customWidth="1"/>
    <col min="6" max="6" width="18.77734375" style="9" customWidth="1"/>
    <col min="7" max="7" width="18" customWidth="1"/>
    <col min="8" max="8" width="22" customWidth="1"/>
    <col min="9" max="9" width="25.6640625" customWidth="1"/>
    <col min="10" max="10" width="13.44140625" bestFit="1" customWidth="1"/>
    <col min="11" max="11" width="18.77734375" bestFit="1" customWidth="1"/>
    <col min="12" max="12" width="19.21875" bestFit="1" customWidth="1"/>
    <col min="13" max="13" width="13.109375" bestFit="1" customWidth="1"/>
    <col min="14" max="14" width="19.6640625" bestFit="1" customWidth="1"/>
    <col min="15" max="15" width="19.88671875" bestFit="1" customWidth="1"/>
    <col min="16" max="16" width="24.21875" bestFit="1" customWidth="1"/>
    <col min="17" max="17" width="24" bestFit="1" customWidth="1"/>
  </cols>
  <sheetData>
    <row r="1" spans="1:22" s="7" customFormat="1" ht="22.8" customHeight="1" x14ac:dyDescent="0.4">
      <c r="A1" s="44" t="s">
        <v>25</v>
      </c>
      <c r="B1" s="45"/>
      <c r="C1" s="45"/>
      <c r="D1" s="45"/>
      <c r="E1" s="45"/>
      <c r="F1" s="45"/>
      <c r="G1" s="45"/>
      <c r="H1" s="45"/>
      <c r="I1" s="45"/>
      <c r="J1" s="45"/>
      <c r="K1" s="45"/>
      <c r="L1" s="45"/>
      <c r="M1" s="45"/>
      <c r="N1" s="45"/>
      <c r="O1" s="45"/>
      <c r="P1" s="45"/>
      <c r="Q1" s="45"/>
      <c r="R1" s="45"/>
      <c r="S1" s="45"/>
      <c r="T1" s="45"/>
      <c r="U1" s="45"/>
      <c r="V1" s="45"/>
    </row>
    <row r="2" spans="1:22" s="2" customFormat="1" ht="15.6" x14ac:dyDescent="0.3">
      <c r="A2" s="1" t="s">
        <v>0</v>
      </c>
      <c r="B2" s="1" t="s">
        <v>1</v>
      </c>
      <c r="C2" s="1" t="s">
        <v>2</v>
      </c>
      <c r="D2" s="1" t="s">
        <v>3</v>
      </c>
      <c r="E2" s="13" t="s">
        <v>4</v>
      </c>
      <c r="F2" s="13" t="s">
        <v>5</v>
      </c>
      <c r="G2" s="1" t="s">
        <v>6</v>
      </c>
      <c r="H2" s="1" t="s">
        <v>45</v>
      </c>
      <c r="I2" s="1" t="s">
        <v>34</v>
      </c>
    </row>
    <row r="3" spans="1:22" x14ac:dyDescent="0.3">
      <c r="A3" s="3">
        <v>46296</v>
      </c>
      <c r="B3" s="4" t="s">
        <v>7</v>
      </c>
      <c r="C3" s="4" t="s">
        <v>8</v>
      </c>
      <c r="D3" s="4">
        <v>11</v>
      </c>
      <c r="E3" s="14">
        <v>200</v>
      </c>
      <c r="F3" s="14">
        <f>D3*E3</f>
        <v>2200</v>
      </c>
      <c r="G3" s="4" t="s">
        <v>9</v>
      </c>
      <c r="H3" s="5" t="str">
        <f>IF(AND(D3&gt;50,C3="Beverages"),"Eligible","Not Eligible")</f>
        <v>Not Eligible</v>
      </c>
      <c r="I3" s="4" t="str">
        <f>IF(OR(UPPER(G3)="CARD",UPPER(G3)="UPI"),"Digital",IF(UPPER(G3)="CASH","Cash"," "))</f>
        <v>Digital</v>
      </c>
    </row>
    <row r="4" spans="1:22" x14ac:dyDescent="0.3">
      <c r="A4" s="3">
        <v>46296</v>
      </c>
      <c r="B4" s="4" t="s">
        <v>7</v>
      </c>
      <c r="C4" s="4" t="s">
        <v>8</v>
      </c>
      <c r="D4" s="4">
        <v>10</v>
      </c>
      <c r="E4" s="14">
        <v>200</v>
      </c>
      <c r="F4" s="14">
        <f t="shared" ref="F4:F67" si="0">D4*E4</f>
        <v>2000</v>
      </c>
      <c r="G4" s="4" t="s">
        <v>10</v>
      </c>
      <c r="H4" s="5" t="str">
        <f t="shared" ref="H4:H67" si="1">IF(AND(D4&gt;50,C4="Beverages"),"Eligible","Not Eligible")</f>
        <v>Not Eligible</v>
      </c>
      <c r="I4" s="4" t="str">
        <f t="shared" ref="I4:I67" si="2">IF(OR(UPPER(G4)="CARD",UPPER(G4)="UPI"),"Digital",IF(UPPER(G4)="CASH","Cash"," "))</f>
        <v>Digital</v>
      </c>
    </row>
    <row r="5" spans="1:22" x14ac:dyDescent="0.3">
      <c r="A5" s="3">
        <v>46296</v>
      </c>
      <c r="B5" s="4" t="s">
        <v>11</v>
      </c>
      <c r="C5" s="4" t="s">
        <v>12</v>
      </c>
      <c r="D5" s="4">
        <v>52</v>
      </c>
      <c r="E5" s="14">
        <v>70</v>
      </c>
      <c r="F5" s="14">
        <f t="shared" si="0"/>
        <v>3640</v>
      </c>
      <c r="G5" s="4" t="s">
        <v>13</v>
      </c>
      <c r="H5" s="5" t="str">
        <f t="shared" si="1"/>
        <v>Eligible</v>
      </c>
      <c r="I5" s="4" t="str">
        <f t="shared" si="2"/>
        <v>Cash</v>
      </c>
    </row>
    <row r="6" spans="1:22" x14ac:dyDescent="0.3">
      <c r="A6" s="3">
        <v>46296</v>
      </c>
      <c r="B6" s="4" t="s">
        <v>7</v>
      </c>
      <c r="C6" s="4" t="s">
        <v>8</v>
      </c>
      <c r="D6" s="4">
        <v>10</v>
      </c>
      <c r="E6" s="14">
        <v>200</v>
      </c>
      <c r="F6" s="14">
        <f t="shared" si="0"/>
        <v>2000</v>
      </c>
      <c r="G6" s="4" t="s">
        <v>10</v>
      </c>
      <c r="H6" s="5" t="str">
        <f t="shared" si="1"/>
        <v>Not Eligible</v>
      </c>
      <c r="I6" s="4" t="str">
        <f t="shared" si="2"/>
        <v>Digital</v>
      </c>
    </row>
    <row r="7" spans="1:22" x14ac:dyDescent="0.3">
      <c r="A7" s="3">
        <v>46296</v>
      </c>
      <c r="B7" s="4" t="s">
        <v>7</v>
      </c>
      <c r="C7" s="4" t="s">
        <v>8</v>
      </c>
      <c r="D7" s="4">
        <v>9</v>
      </c>
      <c r="E7" s="14">
        <v>200</v>
      </c>
      <c r="F7" s="14">
        <f t="shared" si="0"/>
        <v>1800</v>
      </c>
      <c r="G7" s="4" t="s">
        <v>10</v>
      </c>
      <c r="H7" s="5" t="str">
        <f t="shared" si="1"/>
        <v>Not Eligible</v>
      </c>
      <c r="I7" s="4" t="str">
        <f t="shared" si="2"/>
        <v>Digital</v>
      </c>
    </row>
    <row r="8" spans="1:22" x14ac:dyDescent="0.3">
      <c r="A8" s="3">
        <v>46296</v>
      </c>
      <c r="B8" s="4" t="s">
        <v>14</v>
      </c>
      <c r="C8" s="4" t="s">
        <v>8</v>
      </c>
      <c r="D8" s="4">
        <v>16</v>
      </c>
      <c r="E8" s="14">
        <v>180</v>
      </c>
      <c r="F8" s="14">
        <f t="shared" si="0"/>
        <v>2880</v>
      </c>
      <c r="G8" s="4" t="s">
        <v>9</v>
      </c>
      <c r="H8" s="5" t="str">
        <f t="shared" si="1"/>
        <v>Not Eligible</v>
      </c>
      <c r="I8" s="4" t="str">
        <f t="shared" si="2"/>
        <v>Digital</v>
      </c>
    </row>
    <row r="9" spans="1:22" x14ac:dyDescent="0.3">
      <c r="A9" s="3">
        <v>46297</v>
      </c>
      <c r="B9" s="4" t="s">
        <v>15</v>
      </c>
      <c r="C9" s="4" t="s">
        <v>8</v>
      </c>
      <c r="D9" s="4">
        <v>3</v>
      </c>
      <c r="E9" s="14">
        <v>160</v>
      </c>
      <c r="F9" s="14">
        <f t="shared" si="0"/>
        <v>480</v>
      </c>
      <c r="G9" s="4" t="s">
        <v>10</v>
      </c>
      <c r="H9" s="5" t="str">
        <f t="shared" si="1"/>
        <v>Not Eligible</v>
      </c>
      <c r="I9" s="4" t="str">
        <f t="shared" si="2"/>
        <v>Digital</v>
      </c>
    </row>
    <row r="10" spans="1:22" x14ac:dyDescent="0.3">
      <c r="A10" s="3">
        <v>46297</v>
      </c>
      <c r="B10" s="4" t="s">
        <v>7</v>
      </c>
      <c r="C10" s="4" t="s">
        <v>8</v>
      </c>
      <c r="D10" s="4">
        <v>16</v>
      </c>
      <c r="E10" s="14">
        <v>200</v>
      </c>
      <c r="F10" s="14">
        <f t="shared" si="0"/>
        <v>3200</v>
      </c>
      <c r="G10" s="4" t="s">
        <v>9</v>
      </c>
      <c r="H10" s="5" t="str">
        <f t="shared" si="1"/>
        <v>Not Eligible</v>
      </c>
      <c r="I10" s="4" t="str">
        <f t="shared" si="2"/>
        <v>Digital</v>
      </c>
    </row>
    <row r="11" spans="1:22" x14ac:dyDescent="0.3">
      <c r="A11" s="3">
        <v>46297</v>
      </c>
      <c r="B11" s="4" t="s">
        <v>7</v>
      </c>
      <c r="C11" s="4" t="s">
        <v>8</v>
      </c>
      <c r="D11" s="4">
        <v>13</v>
      </c>
      <c r="E11" s="14">
        <v>200</v>
      </c>
      <c r="F11" s="14">
        <f t="shared" si="0"/>
        <v>2600</v>
      </c>
      <c r="G11" s="4" t="s">
        <v>13</v>
      </c>
      <c r="H11" s="5" t="str">
        <f t="shared" si="1"/>
        <v>Not Eligible</v>
      </c>
      <c r="I11" s="4" t="str">
        <f t="shared" si="2"/>
        <v>Cash</v>
      </c>
    </row>
    <row r="12" spans="1:22" x14ac:dyDescent="0.3">
      <c r="A12" s="3">
        <v>46297</v>
      </c>
      <c r="B12" s="4" t="s">
        <v>16</v>
      </c>
      <c r="C12" s="4" t="s">
        <v>8</v>
      </c>
      <c r="D12" s="4">
        <v>14</v>
      </c>
      <c r="E12" s="14">
        <v>250</v>
      </c>
      <c r="F12" s="14">
        <f t="shared" si="0"/>
        <v>3500</v>
      </c>
      <c r="G12" s="4" t="s">
        <v>10</v>
      </c>
      <c r="H12" s="5" t="str">
        <f t="shared" si="1"/>
        <v>Not Eligible</v>
      </c>
      <c r="I12" s="4" t="str">
        <f t="shared" si="2"/>
        <v>Digital</v>
      </c>
    </row>
    <row r="13" spans="1:22" x14ac:dyDescent="0.3">
      <c r="A13" s="3">
        <v>46297</v>
      </c>
      <c r="B13" s="4" t="s">
        <v>17</v>
      </c>
      <c r="C13" s="4" t="s">
        <v>8</v>
      </c>
      <c r="D13" s="4">
        <v>4</v>
      </c>
      <c r="E13" s="14">
        <v>120</v>
      </c>
      <c r="F13" s="14">
        <f t="shared" si="0"/>
        <v>480</v>
      </c>
      <c r="G13" s="4" t="s">
        <v>10</v>
      </c>
      <c r="H13" s="5" t="str">
        <f t="shared" si="1"/>
        <v>Not Eligible</v>
      </c>
      <c r="I13" s="4" t="str">
        <f t="shared" si="2"/>
        <v>Digital</v>
      </c>
    </row>
    <row r="14" spans="1:22" x14ac:dyDescent="0.3">
      <c r="A14" s="3">
        <v>46297</v>
      </c>
      <c r="B14" s="4" t="s">
        <v>18</v>
      </c>
      <c r="C14" s="4" t="s">
        <v>8</v>
      </c>
      <c r="D14" s="4">
        <v>60</v>
      </c>
      <c r="E14" s="14">
        <v>220</v>
      </c>
      <c r="F14" s="14">
        <f t="shared" si="0"/>
        <v>13200</v>
      </c>
      <c r="G14" s="4" t="s">
        <v>13</v>
      </c>
      <c r="H14" s="5" t="str">
        <f t="shared" si="1"/>
        <v>Not Eligible</v>
      </c>
      <c r="I14" s="4" t="str">
        <f t="shared" si="2"/>
        <v>Cash</v>
      </c>
    </row>
    <row r="15" spans="1:22" x14ac:dyDescent="0.3">
      <c r="A15" s="3">
        <v>46298</v>
      </c>
      <c r="B15" s="4" t="s">
        <v>19</v>
      </c>
      <c r="C15" s="4" t="s">
        <v>12</v>
      </c>
      <c r="D15" s="4">
        <v>14</v>
      </c>
      <c r="E15" s="14">
        <v>80</v>
      </c>
      <c r="F15" s="14">
        <f t="shared" si="0"/>
        <v>1120</v>
      </c>
      <c r="G15" s="4" t="s">
        <v>10</v>
      </c>
      <c r="H15" s="5" t="str">
        <f t="shared" si="1"/>
        <v>Not Eligible</v>
      </c>
      <c r="I15" s="4" t="str">
        <f t="shared" si="2"/>
        <v>Digital</v>
      </c>
    </row>
    <row r="16" spans="1:22" x14ac:dyDescent="0.3">
      <c r="A16" s="3">
        <v>46298</v>
      </c>
      <c r="B16" s="4" t="s">
        <v>7</v>
      </c>
      <c r="C16" s="4" t="s">
        <v>8</v>
      </c>
      <c r="D16" s="4">
        <v>10</v>
      </c>
      <c r="E16" s="14">
        <v>200</v>
      </c>
      <c r="F16" s="14">
        <f t="shared" si="0"/>
        <v>2000</v>
      </c>
      <c r="G16" s="4" t="s">
        <v>10</v>
      </c>
      <c r="H16" s="5" t="str">
        <f t="shared" si="1"/>
        <v>Not Eligible</v>
      </c>
      <c r="I16" s="4" t="str">
        <f t="shared" si="2"/>
        <v>Digital</v>
      </c>
    </row>
    <row r="17" spans="1:9" x14ac:dyDescent="0.3">
      <c r="A17" s="3">
        <v>46298</v>
      </c>
      <c r="B17" s="4" t="s">
        <v>20</v>
      </c>
      <c r="C17" s="4" t="s">
        <v>21</v>
      </c>
      <c r="D17" s="4">
        <v>10</v>
      </c>
      <c r="E17" s="14">
        <v>90</v>
      </c>
      <c r="F17" s="14">
        <f t="shared" si="0"/>
        <v>900</v>
      </c>
      <c r="G17" s="4" t="s">
        <v>10</v>
      </c>
      <c r="H17" s="5" t="str">
        <f t="shared" si="1"/>
        <v>Not Eligible</v>
      </c>
      <c r="I17" s="4" t="str">
        <f t="shared" si="2"/>
        <v>Digital</v>
      </c>
    </row>
    <row r="18" spans="1:9" x14ac:dyDescent="0.3">
      <c r="A18" s="3">
        <v>46298</v>
      </c>
      <c r="B18" s="4" t="s">
        <v>16</v>
      </c>
      <c r="C18" s="4" t="s">
        <v>8</v>
      </c>
      <c r="D18" s="4">
        <v>17</v>
      </c>
      <c r="E18" s="14">
        <v>250</v>
      </c>
      <c r="F18" s="14">
        <f t="shared" si="0"/>
        <v>4250</v>
      </c>
      <c r="G18" s="4" t="s">
        <v>10</v>
      </c>
      <c r="H18" s="5" t="str">
        <f t="shared" si="1"/>
        <v>Not Eligible</v>
      </c>
      <c r="I18" s="4" t="str">
        <f t="shared" si="2"/>
        <v>Digital</v>
      </c>
    </row>
    <row r="19" spans="1:9" x14ac:dyDescent="0.3">
      <c r="A19" s="3">
        <v>46298</v>
      </c>
      <c r="B19" s="4" t="s">
        <v>16</v>
      </c>
      <c r="C19" s="4" t="s">
        <v>8</v>
      </c>
      <c r="D19" s="4">
        <v>35</v>
      </c>
      <c r="E19" s="14">
        <v>250</v>
      </c>
      <c r="F19" s="14">
        <f t="shared" si="0"/>
        <v>8750</v>
      </c>
      <c r="G19" s="4" t="s">
        <v>9</v>
      </c>
      <c r="H19" s="5" t="str">
        <f t="shared" si="1"/>
        <v>Not Eligible</v>
      </c>
      <c r="I19" s="4" t="str">
        <f t="shared" si="2"/>
        <v>Digital</v>
      </c>
    </row>
    <row r="20" spans="1:9" x14ac:dyDescent="0.3">
      <c r="A20" s="3">
        <v>46299</v>
      </c>
      <c r="B20" s="4" t="s">
        <v>15</v>
      </c>
      <c r="C20" s="4" t="s">
        <v>8</v>
      </c>
      <c r="D20" s="4">
        <v>5</v>
      </c>
      <c r="E20" s="14">
        <v>160</v>
      </c>
      <c r="F20" s="14">
        <f t="shared" si="0"/>
        <v>800</v>
      </c>
      <c r="G20" s="4" t="s">
        <v>10</v>
      </c>
      <c r="H20" s="5" t="str">
        <f t="shared" si="1"/>
        <v>Not Eligible</v>
      </c>
      <c r="I20" s="4" t="str">
        <f t="shared" si="2"/>
        <v>Digital</v>
      </c>
    </row>
    <row r="21" spans="1:9" x14ac:dyDescent="0.3">
      <c r="A21" s="3">
        <v>46299</v>
      </c>
      <c r="B21" s="4" t="s">
        <v>7</v>
      </c>
      <c r="C21" s="4" t="s">
        <v>8</v>
      </c>
      <c r="D21" s="4">
        <v>35</v>
      </c>
      <c r="E21" s="14">
        <v>200</v>
      </c>
      <c r="F21" s="14">
        <f t="shared" si="0"/>
        <v>7000</v>
      </c>
      <c r="G21" s="4" t="s">
        <v>13</v>
      </c>
      <c r="H21" s="5" t="str">
        <f t="shared" si="1"/>
        <v>Not Eligible</v>
      </c>
      <c r="I21" s="4" t="str">
        <f t="shared" si="2"/>
        <v>Cash</v>
      </c>
    </row>
    <row r="22" spans="1:9" x14ac:dyDescent="0.3">
      <c r="A22" s="3">
        <v>46299</v>
      </c>
      <c r="B22" s="4" t="s">
        <v>16</v>
      </c>
      <c r="C22" s="4" t="s">
        <v>8</v>
      </c>
      <c r="D22" s="4">
        <v>10</v>
      </c>
      <c r="E22" s="14">
        <v>250</v>
      </c>
      <c r="F22" s="14">
        <f t="shared" si="0"/>
        <v>2500</v>
      </c>
      <c r="G22" s="4" t="s">
        <v>10</v>
      </c>
      <c r="H22" s="5" t="str">
        <f t="shared" si="1"/>
        <v>Not Eligible</v>
      </c>
      <c r="I22" s="4" t="str">
        <f t="shared" si="2"/>
        <v>Digital</v>
      </c>
    </row>
    <row r="23" spans="1:9" x14ac:dyDescent="0.3">
      <c r="A23" s="3">
        <v>46299</v>
      </c>
      <c r="B23" s="4" t="s">
        <v>11</v>
      </c>
      <c r="C23" s="4" t="s">
        <v>12</v>
      </c>
      <c r="D23" s="4">
        <v>56</v>
      </c>
      <c r="E23" s="14">
        <v>70</v>
      </c>
      <c r="F23" s="14">
        <f t="shared" si="0"/>
        <v>3920</v>
      </c>
      <c r="G23" s="4" t="s">
        <v>13</v>
      </c>
      <c r="H23" s="5" t="str">
        <f t="shared" si="1"/>
        <v>Eligible</v>
      </c>
      <c r="I23" s="4" t="str">
        <f t="shared" si="2"/>
        <v>Cash</v>
      </c>
    </row>
    <row r="24" spans="1:9" x14ac:dyDescent="0.3">
      <c r="A24" s="3">
        <v>46299</v>
      </c>
      <c r="B24" s="4" t="s">
        <v>15</v>
      </c>
      <c r="C24" s="4" t="s">
        <v>8</v>
      </c>
      <c r="D24" s="4">
        <v>11</v>
      </c>
      <c r="E24" s="14">
        <v>160</v>
      </c>
      <c r="F24" s="14">
        <f t="shared" si="0"/>
        <v>1760</v>
      </c>
      <c r="G24" s="4" t="s">
        <v>13</v>
      </c>
      <c r="H24" s="5" t="str">
        <f t="shared" si="1"/>
        <v>Not Eligible</v>
      </c>
      <c r="I24" s="4" t="str">
        <f t="shared" si="2"/>
        <v>Cash</v>
      </c>
    </row>
    <row r="25" spans="1:9" x14ac:dyDescent="0.3">
      <c r="A25" s="3">
        <v>46299</v>
      </c>
      <c r="B25" s="4" t="s">
        <v>22</v>
      </c>
      <c r="C25" s="4" t="s">
        <v>12</v>
      </c>
      <c r="D25" s="4">
        <v>13</v>
      </c>
      <c r="E25" s="14">
        <v>40</v>
      </c>
      <c r="F25" s="14">
        <f t="shared" si="0"/>
        <v>520</v>
      </c>
      <c r="G25" s="4" t="s">
        <v>9</v>
      </c>
      <c r="H25" s="5" t="str">
        <f t="shared" si="1"/>
        <v>Not Eligible</v>
      </c>
      <c r="I25" s="4" t="str">
        <f t="shared" si="2"/>
        <v>Digital</v>
      </c>
    </row>
    <row r="26" spans="1:9" x14ac:dyDescent="0.3">
      <c r="A26" s="3">
        <v>46300</v>
      </c>
      <c r="B26" s="4" t="s">
        <v>16</v>
      </c>
      <c r="C26" s="4" t="s">
        <v>8</v>
      </c>
      <c r="D26" s="4">
        <v>13</v>
      </c>
      <c r="E26" s="14">
        <v>250</v>
      </c>
      <c r="F26" s="14">
        <f t="shared" si="0"/>
        <v>3250</v>
      </c>
      <c r="G26" s="4" t="s">
        <v>13</v>
      </c>
      <c r="H26" s="5" t="str">
        <f t="shared" si="1"/>
        <v>Not Eligible</v>
      </c>
      <c r="I26" s="4" t="str">
        <f t="shared" si="2"/>
        <v>Cash</v>
      </c>
    </row>
    <row r="27" spans="1:9" x14ac:dyDescent="0.3">
      <c r="A27" s="3">
        <v>46300</v>
      </c>
      <c r="B27" s="4" t="s">
        <v>14</v>
      </c>
      <c r="C27" s="4" t="s">
        <v>8</v>
      </c>
      <c r="D27" s="4">
        <v>13</v>
      </c>
      <c r="E27" s="14">
        <v>180</v>
      </c>
      <c r="F27" s="14">
        <f t="shared" si="0"/>
        <v>2340</v>
      </c>
      <c r="G27" s="4" t="s">
        <v>10</v>
      </c>
      <c r="H27" s="5" t="str">
        <f t="shared" si="1"/>
        <v>Not Eligible</v>
      </c>
      <c r="I27" s="4" t="str">
        <f t="shared" si="2"/>
        <v>Digital</v>
      </c>
    </row>
    <row r="28" spans="1:9" x14ac:dyDescent="0.3">
      <c r="A28" s="3">
        <v>46300</v>
      </c>
      <c r="B28" s="4" t="s">
        <v>16</v>
      </c>
      <c r="C28" s="4" t="s">
        <v>8</v>
      </c>
      <c r="D28" s="4">
        <v>18</v>
      </c>
      <c r="E28" s="14">
        <v>250</v>
      </c>
      <c r="F28" s="14">
        <f t="shared" si="0"/>
        <v>4500</v>
      </c>
      <c r="G28" s="4" t="s">
        <v>9</v>
      </c>
      <c r="H28" s="5" t="str">
        <f t="shared" si="1"/>
        <v>Not Eligible</v>
      </c>
      <c r="I28" s="4" t="str">
        <f t="shared" si="2"/>
        <v>Digital</v>
      </c>
    </row>
    <row r="29" spans="1:9" x14ac:dyDescent="0.3">
      <c r="A29" s="3">
        <v>46300</v>
      </c>
      <c r="B29" s="4" t="s">
        <v>20</v>
      </c>
      <c r="C29" s="4" t="s">
        <v>21</v>
      </c>
      <c r="D29" s="4">
        <v>8</v>
      </c>
      <c r="E29" s="14">
        <v>90</v>
      </c>
      <c r="F29" s="14">
        <f t="shared" si="0"/>
        <v>720</v>
      </c>
      <c r="G29" s="4" t="s">
        <v>10</v>
      </c>
      <c r="H29" s="5" t="str">
        <f t="shared" si="1"/>
        <v>Not Eligible</v>
      </c>
      <c r="I29" s="4" t="str">
        <f t="shared" si="2"/>
        <v>Digital</v>
      </c>
    </row>
    <row r="30" spans="1:9" x14ac:dyDescent="0.3">
      <c r="A30" s="3">
        <v>46300</v>
      </c>
      <c r="B30" s="4" t="s">
        <v>7</v>
      </c>
      <c r="C30" s="4" t="s">
        <v>8</v>
      </c>
      <c r="D30" s="4">
        <v>5</v>
      </c>
      <c r="E30" s="14">
        <v>200</v>
      </c>
      <c r="F30" s="14">
        <f t="shared" si="0"/>
        <v>1000</v>
      </c>
      <c r="G30" s="4" t="s">
        <v>10</v>
      </c>
      <c r="H30" s="5" t="str">
        <f t="shared" si="1"/>
        <v>Not Eligible</v>
      </c>
      <c r="I30" s="4" t="str">
        <f t="shared" si="2"/>
        <v>Digital</v>
      </c>
    </row>
    <row r="31" spans="1:9" x14ac:dyDescent="0.3">
      <c r="A31" s="3">
        <v>46300</v>
      </c>
      <c r="B31" s="4" t="s">
        <v>7</v>
      </c>
      <c r="C31" s="4" t="s">
        <v>8</v>
      </c>
      <c r="D31" s="4">
        <v>10</v>
      </c>
      <c r="E31" s="14">
        <v>200</v>
      </c>
      <c r="F31" s="14">
        <f t="shared" si="0"/>
        <v>2000</v>
      </c>
      <c r="G31" s="4" t="s">
        <v>10</v>
      </c>
      <c r="H31" s="5" t="str">
        <f t="shared" si="1"/>
        <v>Not Eligible</v>
      </c>
      <c r="I31" s="4" t="str">
        <f t="shared" si="2"/>
        <v>Digital</v>
      </c>
    </row>
    <row r="32" spans="1:9" x14ac:dyDescent="0.3">
      <c r="A32" s="3">
        <v>46301</v>
      </c>
      <c r="B32" s="4" t="s">
        <v>18</v>
      </c>
      <c r="C32" s="4" t="s">
        <v>8</v>
      </c>
      <c r="D32" s="4">
        <v>18</v>
      </c>
      <c r="E32" s="14">
        <v>220</v>
      </c>
      <c r="F32" s="14">
        <f t="shared" si="0"/>
        <v>3960</v>
      </c>
      <c r="G32" s="4" t="s">
        <v>9</v>
      </c>
      <c r="H32" s="5" t="str">
        <f t="shared" si="1"/>
        <v>Not Eligible</v>
      </c>
      <c r="I32" s="4" t="str">
        <f t="shared" si="2"/>
        <v>Digital</v>
      </c>
    </row>
    <row r="33" spans="1:9" x14ac:dyDescent="0.3">
      <c r="A33" s="3">
        <v>46301</v>
      </c>
      <c r="B33" s="4" t="s">
        <v>20</v>
      </c>
      <c r="C33" s="4" t="s">
        <v>21</v>
      </c>
      <c r="D33" s="4">
        <v>13</v>
      </c>
      <c r="E33" s="14">
        <v>90</v>
      </c>
      <c r="F33" s="14">
        <f t="shared" si="0"/>
        <v>1170</v>
      </c>
      <c r="G33" s="4" t="s">
        <v>10</v>
      </c>
      <c r="H33" s="5" t="str">
        <f t="shared" si="1"/>
        <v>Not Eligible</v>
      </c>
      <c r="I33" s="4" t="str">
        <f t="shared" si="2"/>
        <v>Digital</v>
      </c>
    </row>
    <row r="34" spans="1:9" x14ac:dyDescent="0.3">
      <c r="A34" s="3">
        <v>46301</v>
      </c>
      <c r="B34" s="4" t="s">
        <v>11</v>
      </c>
      <c r="C34" s="4" t="s">
        <v>12</v>
      </c>
      <c r="D34" s="4">
        <v>3</v>
      </c>
      <c r="E34" s="14">
        <v>70</v>
      </c>
      <c r="F34" s="14">
        <f t="shared" si="0"/>
        <v>210</v>
      </c>
      <c r="G34" s="4" t="s">
        <v>13</v>
      </c>
      <c r="H34" s="5" t="str">
        <f t="shared" si="1"/>
        <v>Not Eligible</v>
      </c>
      <c r="I34" s="4" t="str">
        <f t="shared" si="2"/>
        <v>Cash</v>
      </c>
    </row>
    <row r="35" spans="1:9" x14ac:dyDescent="0.3">
      <c r="A35" s="3">
        <v>46301</v>
      </c>
      <c r="B35" s="4" t="s">
        <v>11</v>
      </c>
      <c r="C35" s="4" t="s">
        <v>12</v>
      </c>
      <c r="D35" s="4">
        <v>13</v>
      </c>
      <c r="E35" s="14">
        <v>70</v>
      </c>
      <c r="F35" s="14">
        <f t="shared" si="0"/>
        <v>910</v>
      </c>
      <c r="G35" s="4" t="s">
        <v>9</v>
      </c>
      <c r="H35" s="5" t="str">
        <f t="shared" si="1"/>
        <v>Not Eligible</v>
      </c>
      <c r="I35" s="4" t="str">
        <f t="shared" si="2"/>
        <v>Digital</v>
      </c>
    </row>
    <row r="36" spans="1:9" x14ac:dyDescent="0.3">
      <c r="A36" s="3">
        <v>46301</v>
      </c>
      <c r="B36" s="4" t="s">
        <v>15</v>
      </c>
      <c r="C36" s="4" t="s">
        <v>8</v>
      </c>
      <c r="D36" s="4">
        <v>10</v>
      </c>
      <c r="E36" s="14">
        <v>160</v>
      </c>
      <c r="F36" s="14">
        <f t="shared" si="0"/>
        <v>1600</v>
      </c>
      <c r="G36" s="4" t="s">
        <v>9</v>
      </c>
      <c r="H36" s="5" t="str">
        <f t="shared" si="1"/>
        <v>Not Eligible</v>
      </c>
      <c r="I36" s="4" t="str">
        <f t="shared" si="2"/>
        <v>Digital</v>
      </c>
    </row>
    <row r="37" spans="1:9" x14ac:dyDescent="0.3">
      <c r="A37" s="3">
        <v>46302</v>
      </c>
      <c r="B37" s="4" t="s">
        <v>11</v>
      </c>
      <c r="C37" s="4" t="s">
        <v>12</v>
      </c>
      <c r="D37" s="4">
        <v>11</v>
      </c>
      <c r="E37" s="14">
        <v>70</v>
      </c>
      <c r="F37" s="14">
        <f t="shared" si="0"/>
        <v>770</v>
      </c>
      <c r="G37" s="4" t="s">
        <v>10</v>
      </c>
      <c r="H37" s="5" t="str">
        <f t="shared" si="1"/>
        <v>Not Eligible</v>
      </c>
      <c r="I37" s="4" t="str">
        <f t="shared" si="2"/>
        <v>Digital</v>
      </c>
    </row>
    <row r="38" spans="1:9" x14ac:dyDescent="0.3">
      <c r="A38" s="3">
        <v>46302</v>
      </c>
      <c r="B38" s="4" t="s">
        <v>18</v>
      </c>
      <c r="C38" s="4" t="s">
        <v>8</v>
      </c>
      <c r="D38" s="4">
        <v>6</v>
      </c>
      <c r="E38" s="14">
        <v>220</v>
      </c>
      <c r="F38" s="14">
        <f t="shared" si="0"/>
        <v>1320</v>
      </c>
      <c r="G38" s="4" t="s">
        <v>10</v>
      </c>
      <c r="H38" s="5" t="str">
        <f t="shared" si="1"/>
        <v>Not Eligible</v>
      </c>
      <c r="I38" s="4" t="str">
        <f t="shared" si="2"/>
        <v>Digital</v>
      </c>
    </row>
    <row r="39" spans="1:9" x14ac:dyDescent="0.3">
      <c r="A39" s="3">
        <v>46302</v>
      </c>
      <c r="B39" s="4" t="s">
        <v>15</v>
      </c>
      <c r="C39" s="4" t="s">
        <v>8</v>
      </c>
      <c r="D39" s="4">
        <v>9</v>
      </c>
      <c r="E39" s="14">
        <v>160</v>
      </c>
      <c r="F39" s="14">
        <f t="shared" si="0"/>
        <v>1440</v>
      </c>
      <c r="G39" s="4" t="s">
        <v>13</v>
      </c>
      <c r="H39" s="5" t="str">
        <f t="shared" si="1"/>
        <v>Not Eligible</v>
      </c>
      <c r="I39" s="4" t="str">
        <f t="shared" si="2"/>
        <v>Cash</v>
      </c>
    </row>
    <row r="40" spans="1:9" x14ac:dyDescent="0.3">
      <c r="A40" s="3">
        <v>46302</v>
      </c>
      <c r="B40" s="4" t="s">
        <v>14</v>
      </c>
      <c r="C40" s="4" t="s">
        <v>8</v>
      </c>
      <c r="D40" s="4">
        <v>3</v>
      </c>
      <c r="E40" s="14">
        <v>180</v>
      </c>
      <c r="F40" s="14">
        <f t="shared" si="0"/>
        <v>540</v>
      </c>
      <c r="G40" s="4" t="s">
        <v>10</v>
      </c>
      <c r="H40" s="5" t="str">
        <f t="shared" si="1"/>
        <v>Not Eligible</v>
      </c>
      <c r="I40" s="4" t="str">
        <f t="shared" si="2"/>
        <v>Digital</v>
      </c>
    </row>
    <row r="41" spans="1:9" x14ac:dyDescent="0.3">
      <c r="A41" s="3">
        <v>46302</v>
      </c>
      <c r="B41" s="4" t="s">
        <v>18</v>
      </c>
      <c r="C41" s="4" t="s">
        <v>8</v>
      </c>
      <c r="D41" s="4">
        <v>6</v>
      </c>
      <c r="E41" s="14">
        <v>220</v>
      </c>
      <c r="F41" s="14">
        <f t="shared" si="0"/>
        <v>1320</v>
      </c>
      <c r="G41" s="4" t="s">
        <v>10</v>
      </c>
      <c r="H41" s="5" t="str">
        <f t="shared" si="1"/>
        <v>Not Eligible</v>
      </c>
      <c r="I41" s="4" t="str">
        <f t="shared" si="2"/>
        <v>Digital</v>
      </c>
    </row>
    <row r="42" spans="1:9" x14ac:dyDescent="0.3">
      <c r="A42" s="3">
        <v>46302</v>
      </c>
      <c r="B42" s="4" t="s">
        <v>11</v>
      </c>
      <c r="C42" s="4" t="s">
        <v>12</v>
      </c>
      <c r="D42" s="4">
        <v>12</v>
      </c>
      <c r="E42" s="14">
        <v>70</v>
      </c>
      <c r="F42" s="14">
        <f t="shared" si="0"/>
        <v>840</v>
      </c>
      <c r="G42" s="4" t="s">
        <v>9</v>
      </c>
      <c r="H42" s="5" t="str">
        <f t="shared" si="1"/>
        <v>Not Eligible</v>
      </c>
      <c r="I42" s="4" t="str">
        <f t="shared" si="2"/>
        <v>Digital</v>
      </c>
    </row>
    <row r="43" spans="1:9" x14ac:dyDescent="0.3">
      <c r="A43" s="3">
        <v>46303</v>
      </c>
      <c r="B43" s="4" t="s">
        <v>23</v>
      </c>
      <c r="C43" s="4" t="s">
        <v>12</v>
      </c>
      <c r="D43" s="4">
        <v>5</v>
      </c>
      <c r="E43" s="14">
        <v>30</v>
      </c>
      <c r="F43" s="14">
        <f t="shared" si="0"/>
        <v>150</v>
      </c>
      <c r="G43" s="4" t="s">
        <v>10</v>
      </c>
      <c r="H43" s="5" t="str">
        <f t="shared" si="1"/>
        <v>Not Eligible</v>
      </c>
      <c r="I43" s="4" t="str">
        <f t="shared" si="2"/>
        <v>Digital</v>
      </c>
    </row>
    <row r="44" spans="1:9" x14ac:dyDescent="0.3">
      <c r="A44" s="3">
        <v>46303</v>
      </c>
      <c r="B44" s="4" t="s">
        <v>24</v>
      </c>
      <c r="C44" s="4" t="s">
        <v>21</v>
      </c>
      <c r="D44" s="4">
        <v>28</v>
      </c>
      <c r="E44" s="14">
        <v>150</v>
      </c>
      <c r="F44" s="14">
        <f t="shared" si="0"/>
        <v>4200</v>
      </c>
      <c r="G44" s="4" t="s">
        <v>13</v>
      </c>
      <c r="H44" s="5" t="str">
        <f t="shared" si="1"/>
        <v>Not Eligible</v>
      </c>
      <c r="I44" s="4" t="str">
        <f t="shared" si="2"/>
        <v>Cash</v>
      </c>
    </row>
    <row r="45" spans="1:9" x14ac:dyDescent="0.3">
      <c r="A45" s="3">
        <v>46303</v>
      </c>
      <c r="B45" s="4" t="s">
        <v>16</v>
      </c>
      <c r="C45" s="4" t="s">
        <v>8</v>
      </c>
      <c r="D45" s="4">
        <v>28</v>
      </c>
      <c r="E45" s="14">
        <v>250</v>
      </c>
      <c r="F45" s="14">
        <f t="shared" si="0"/>
        <v>7000</v>
      </c>
      <c r="G45" s="4" t="s">
        <v>9</v>
      </c>
      <c r="H45" s="5" t="str">
        <f t="shared" si="1"/>
        <v>Not Eligible</v>
      </c>
      <c r="I45" s="4" t="str">
        <f t="shared" si="2"/>
        <v>Digital</v>
      </c>
    </row>
    <row r="46" spans="1:9" x14ac:dyDescent="0.3">
      <c r="A46" s="3">
        <v>46303</v>
      </c>
      <c r="B46" s="4" t="s">
        <v>11</v>
      </c>
      <c r="C46" s="4" t="s">
        <v>12</v>
      </c>
      <c r="D46" s="4">
        <v>16</v>
      </c>
      <c r="E46" s="14">
        <v>70</v>
      </c>
      <c r="F46" s="14">
        <f t="shared" si="0"/>
        <v>1120</v>
      </c>
      <c r="G46" s="4" t="s">
        <v>10</v>
      </c>
      <c r="H46" s="5" t="str">
        <f t="shared" si="1"/>
        <v>Not Eligible</v>
      </c>
      <c r="I46" s="4" t="str">
        <f t="shared" si="2"/>
        <v>Digital</v>
      </c>
    </row>
    <row r="47" spans="1:9" x14ac:dyDescent="0.3">
      <c r="A47" s="3">
        <v>46303</v>
      </c>
      <c r="B47" s="4" t="s">
        <v>14</v>
      </c>
      <c r="C47" s="4" t="s">
        <v>8</v>
      </c>
      <c r="D47" s="4">
        <v>9</v>
      </c>
      <c r="E47" s="14">
        <v>180</v>
      </c>
      <c r="F47" s="14">
        <f t="shared" si="0"/>
        <v>1620</v>
      </c>
      <c r="G47" s="4" t="s">
        <v>10</v>
      </c>
      <c r="H47" s="5" t="str">
        <f t="shared" si="1"/>
        <v>Not Eligible</v>
      </c>
      <c r="I47" s="4" t="str">
        <f t="shared" si="2"/>
        <v>Digital</v>
      </c>
    </row>
    <row r="48" spans="1:9" x14ac:dyDescent="0.3">
      <c r="A48" s="3">
        <v>46303</v>
      </c>
      <c r="B48" s="4" t="s">
        <v>16</v>
      </c>
      <c r="C48" s="4" t="s">
        <v>8</v>
      </c>
      <c r="D48" s="4">
        <v>14</v>
      </c>
      <c r="E48" s="14">
        <v>250</v>
      </c>
      <c r="F48" s="14">
        <f t="shared" si="0"/>
        <v>3500</v>
      </c>
      <c r="G48" s="4" t="s">
        <v>9</v>
      </c>
      <c r="H48" s="5" t="str">
        <f t="shared" si="1"/>
        <v>Not Eligible</v>
      </c>
      <c r="I48" s="4" t="str">
        <f t="shared" si="2"/>
        <v>Digital</v>
      </c>
    </row>
    <row r="49" spans="1:9" x14ac:dyDescent="0.3">
      <c r="A49" s="3">
        <v>46304</v>
      </c>
      <c r="B49" s="4" t="s">
        <v>16</v>
      </c>
      <c r="C49" s="4" t="s">
        <v>8</v>
      </c>
      <c r="D49" s="4">
        <v>10</v>
      </c>
      <c r="E49" s="14">
        <v>250</v>
      </c>
      <c r="F49" s="14">
        <f t="shared" si="0"/>
        <v>2500</v>
      </c>
      <c r="G49" s="4" t="s">
        <v>9</v>
      </c>
      <c r="H49" s="5" t="str">
        <f t="shared" si="1"/>
        <v>Not Eligible</v>
      </c>
      <c r="I49" s="4" t="str">
        <f t="shared" si="2"/>
        <v>Digital</v>
      </c>
    </row>
    <row r="50" spans="1:9" x14ac:dyDescent="0.3">
      <c r="A50" s="3">
        <v>46304</v>
      </c>
      <c r="B50" s="4" t="s">
        <v>15</v>
      </c>
      <c r="C50" s="4" t="s">
        <v>8</v>
      </c>
      <c r="D50" s="4">
        <v>10</v>
      </c>
      <c r="E50" s="14">
        <v>160</v>
      </c>
      <c r="F50" s="14">
        <f t="shared" si="0"/>
        <v>1600</v>
      </c>
      <c r="G50" s="4" t="s">
        <v>10</v>
      </c>
      <c r="H50" s="5" t="str">
        <f t="shared" si="1"/>
        <v>Not Eligible</v>
      </c>
      <c r="I50" s="4" t="str">
        <f t="shared" si="2"/>
        <v>Digital</v>
      </c>
    </row>
    <row r="51" spans="1:9" x14ac:dyDescent="0.3">
      <c r="A51" s="3">
        <v>46304</v>
      </c>
      <c r="B51" s="4" t="s">
        <v>7</v>
      </c>
      <c r="C51" s="4" t="s">
        <v>8</v>
      </c>
      <c r="D51" s="4">
        <v>4</v>
      </c>
      <c r="E51" s="14">
        <v>200</v>
      </c>
      <c r="F51" s="14">
        <f t="shared" si="0"/>
        <v>800</v>
      </c>
      <c r="G51" s="4" t="s">
        <v>9</v>
      </c>
      <c r="H51" s="5" t="str">
        <f t="shared" si="1"/>
        <v>Not Eligible</v>
      </c>
      <c r="I51" s="4" t="str">
        <f t="shared" si="2"/>
        <v>Digital</v>
      </c>
    </row>
    <row r="52" spans="1:9" x14ac:dyDescent="0.3">
      <c r="A52" s="3">
        <v>46304</v>
      </c>
      <c r="B52" s="4" t="s">
        <v>22</v>
      </c>
      <c r="C52" s="4" t="s">
        <v>12</v>
      </c>
      <c r="D52" s="4">
        <v>58</v>
      </c>
      <c r="E52" s="14">
        <v>40</v>
      </c>
      <c r="F52" s="14">
        <f t="shared" si="0"/>
        <v>2320</v>
      </c>
      <c r="G52" s="4" t="s">
        <v>9</v>
      </c>
      <c r="H52" s="5" t="str">
        <f t="shared" si="1"/>
        <v>Eligible</v>
      </c>
      <c r="I52" s="4" t="str">
        <f t="shared" si="2"/>
        <v>Digital</v>
      </c>
    </row>
    <row r="53" spans="1:9" x14ac:dyDescent="0.3">
      <c r="A53" s="3">
        <v>46304</v>
      </c>
      <c r="B53" s="4" t="s">
        <v>18</v>
      </c>
      <c r="C53" s="4" t="s">
        <v>8</v>
      </c>
      <c r="D53" s="4">
        <v>45</v>
      </c>
      <c r="E53" s="14">
        <v>220</v>
      </c>
      <c r="F53" s="14">
        <f t="shared" si="0"/>
        <v>9900</v>
      </c>
      <c r="G53" s="4" t="s">
        <v>10</v>
      </c>
      <c r="H53" s="5" t="str">
        <f t="shared" si="1"/>
        <v>Not Eligible</v>
      </c>
      <c r="I53" s="4" t="str">
        <f t="shared" si="2"/>
        <v>Digital</v>
      </c>
    </row>
    <row r="54" spans="1:9" x14ac:dyDescent="0.3">
      <c r="A54" s="3">
        <v>46304</v>
      </c>
      <c r="B54" s="4" t="s">
        <v>11</v>
      </c>
      <c r="C54" s="4" t="s">
        <v>12</v>
      </c>
      <c r="D54" s="4">
        <v>55</v>
      </c>
      <c r="E54" s="14">
        <v>70</v>
      </c>
      <c r="F54" s="14">
        <f t="shared" si="0"/>
        <v>3850</v>
      </c>
      <c r="G54" s="4" t="s">
        <v>9</v>
      </c>
      <c r="H54" s="5" t="str">
        <f t="shared" si="1"/>
        <v>Eligible</v>
      </c>
      <c r="I54" s="4" t="str">
        <f t="shared" si="2"/>
        <v>Digital</v>
      </c>
    </row>
    <row r="55" spans="1:9" x14ac:dyDescent="0.3">
      <c r="A55" s="3">
        <v>46305</v>
      </c>
      <c r="B55" s="4" t="s">
        <v>7</v>
      </c>
      <c r="C55" s="4" t="s">
        <v>8</v>
      </c>
      <c r="D55" s="4">
        <v>6</v>
      </c>
      <c r="E55" s="14">
        <v>200</v>
      </c>
      <c r="F55" s="14">
        <f t="shared" si="0"/>
        <v>1200</v>
      </c>
      <c r="G55" s="4" t="s">
        <v>10</v>
      </c>
      <c r="H55" s="5" t="str">
        <f t="shared" si="1"/>
        <v>Not Eligible</v>
      </c>
      <c r="I55" s="4" t="str">
        <f t="shared" si="2"/>
        <v>Digital</v>
      </c>
    </row>
    <row r="56" spans="1:9" x14ac:dyDescent="0.3">
      <c r="A56" s="3">
        <v>46305</v>
      </c>
      <c r="B56" s="4" t="s">
        <v>15</v>
      </c>
      <c r="C56" s="4" t="s">
        <v>8</v>
      </c>
      <c r="D56" s="4">
        <v>38</v>
      </c>
      <c r="E56" s="14">
        <v>160</v>
      </c>
      <c r="F56" s="14">
        <f t="shared" si="0"/>
        <v>6080</v>
      </c>
      <c r="G56" s="4" t="s">
        <v>9</v>
      </c>
      <c r="H56" s="5" t="str">
        <f t="shared" si="1"/>
        <v>Not Eligible</v>
      </c>
      <c r="I56" s="4" t="str">
        <f t="shared" si="2"/>
        <v>Digital</v>
      </c>
    </row>
    <row r="57" spans="1:9" x14ac:dyDescent="0.3">
      <c r="A57" s="3">
        <v>46305</v>
      </c>
      <c r="B57" s="4" t="s">
        <v>14</v>
      </c>
      <c r="C57" s="4" t="s">
        <v>8</v>
      </c>
      <c r="D57" s="4">
        <v>6</v>
      </c>
      <c r="E57" s="14">
        <v>180</v>
      </c>
      <c r="F57" s="14">
        <f t="shared" si="0"/>
        <v>1080</v>
      </c>
      <c r="G57" s="4" t="s">
        <v>13</v>
      </c>
      <c r="H57" s="5" t="str">
        <f t="shared" si="1"/>
        <v>Not Eligible</v>
      </c>
      <c r="I57" s="4" t="str">
        <f t="shared" si="2"/>
        <v>Cash</v>
      </c>
    </row>
    <row r="58" spans="1:9" x14ac:dyDescent="0.3">
      <c r="A58" s="3">
        <v>46305</v>
      </c>
      <c r="B58" s="4" t="s">
        <v>14</v>
      </c>
      <c r="C58" s="4" t="s">
        <v>8</v>
      </c>
      <c r="D58" s="4">
        <v>6</v>
      </c>
      <c r="E58" s="14">
        <v>180</v>
      </c>
      <c r="F58" s="14">
        <f t="shared" si="0"/>
        <v>1080</v>
      </c>
      <c r="G58" s="4" t="s">
        <v>9</v>
      </c>
      <c r="H58" s="5" t="str">
        <f t="shared" si="1"/>
        <v>Not Eligible</v>
      </c>
      <c r="I58" s="4" t="str">
        <f t="shared" si="2"/>
        <v>Digital</v>
      </c>
    </row>
    <row r="59" spans="1:9" x14ac:dyDescent="0.3">
      <c r="A59" s="3">
        <v>46305</v>
      </c>
      <c r="B59" s="4" t="s">
        <v>7</v>
      </c>
      <c r="C59" s="4" t="s">
        <v>8</v>
      </c>
      <c r="D59" s="4">
        <v>35</v>
      </c>
      <c r="E59" s="14">
        <v>200</v>
      </c>
      <c r="F59" s="14">
        <f t="shared" si="0"/>
        <v>7000</v>
      </c>
      <c r="G59" s="4" t="s">
        <v>13</v>
      </c>
      <c r="H59" s="5" t="str">
        <f t="shared" si="1"/>
        <v>Not Eligible</v>
      </c>
      <c r="I59" s="4" t="str">
        <f t="shared" si="2"/>
        <v>Cash</v>
      </c>
    </row>
    <row r="60" spans="1:9" x14ac:dyDescent="0.3">
      <c r="A60" s="3">
        <v>46306</v>
      </c>
      <c r="B60" s="4" t="s">
        <v>15</v>
      </c>
      <c r="C60" s="4" t="s">
        <v>8</v>
      </c>
      <c r="D60" s="4">
        <v>10</v>
      </c>
      <c r="E60" s="14">
        <v>160</v>
      </c>
      <c r="F60" s="14">
        <f t="shared" si="0"/>
        <v>1600</v>
      </c>
      <c r="G60" s="4" t="s">
        <v>10</v>
      </c>
      <c r="H60" s="5" t="str">
        <f t="shared" si="1"/>
        <v>Not Eligible</v>
      </c>
      <c r="I60" s="4" t="str">
        <f t="shared" si="2"/>
        <v>Digital</v>
      </c>
    </row>
    <row r="61" spans="1:9" x14ac:dyDescent="0.3">
      <c r="A61" s="3">
        <v>46306</v>
      </c>
      <c r="B61" s="4" t="s">
        <v>7</v>
      </c>
      <c r="C61" s="4" t="s">
        <v>8</v>
      </c>
      <c r="D61" s="4">
        <v>29</v>
      </c>
      <c r="E61" s="14">
        <v>200</v>
      </c>
      <c r="F61" s="14">
        <f t="shared" si="0"/>
        <v>5800</v>
      </c>
      <c r="G61" s="4" t="s">
        <v>13</v>
      </c>
      <c r="H61" s="5" t="str">
        <f t="shared" si="1"/>
        <v>Not Eligible</v>
      </c>
      <c r="I61" s="4" t="str">
        <f t="shared" si="2"/>
        <v>Cash</v>
      </c>
    </row>
    <row r="62" spans="1:9" x14ac:dyDescent="0.3">
      <c r="A62" s="3">
        <v>46306</v>
      </c>
      <c r="B62" s="4" t="s">
        <v>20</v>
      </c>
      <c r="C62" s="4" t="s">
        <v>21</v>
      </c>
      <c r="D62" s="4">
        <v>3</v>
      </c>
      <c r="E62" s="14">
        <v>90</v>
      </c>
      <c r="F62" s="14">
        <f t="shared" si="0"/>
        <v>270</v>
      </c>
      <c r="G62" s="4" t="s">
        <v>10</v>
      </c>
      <c r="H62" s="5" t="str">
        <f t="shared" si="1"/>
        <v>Not Eligible</v>
      </c>
      <c r="I62" s="4" t="str">
        <f t="shared" si="2"/>
        <v>Digital</v>
      </c>
    </row>
    <row r="63" spans="1:9" x14ac:dyDescent="0.3">
      <c r="A63" s="3">
        <v>46306</v>
      </c>
      <c r="B63" s="4" t="s">
        <v>22</v>
      </c>
      <c r="C63" s="4" t="s">
        <v>12</v>
      </c>
      <c r="D63" s="4">
        <v>59</v>
      </c>
      <c r="E63" s="14">
        <v>40</v>
      </c>
      <c r="F63" s="14">
        <f t="shared" si="0"/>
        <v>2360</v>
      </c>
      <c r="G63" s="4" t="s">
        <v>9</v>
      </c>
      <c r="H63" s="5" t="str">
        <f t="shared" si="1"/>
        <v>Eligible</v>
      </c>
      <c r="I63" s="4" t="str">
        <f t="shared" si="2"/>
        <v>Digital</v>
      </c>
    </row>
    <row r="64" spans="1:9" x14ac:dyDescent="0.3">
      <c r="A64" s="3">
        <v>46307</v>
      </c>
      <c r="B64" s="4" t="s">
        <v>11</v>
      </c>
      <c r="C64" s="4" t="s">
        <v>12</v>
      </c>
      <c r="D64" s="4">
        <v>5</v>
      </c>
      <c r="E64" s="14">
        <v>70</v>
      </c>
      <c r="F64" s="14">
        <f t="shared" si="0"/>
        <v>350</v>
      </c>
      <c r="G64" s="4" t="s">
        <v>13</v>
      </c>
      <c r="H64" s="5" t="str">
        <f t="shared" si="1"/>
        <v>Not Eligible</v>
      </c>
      <c r="I64" s="4" t="str">
        <f t="shared" si="2"/>
        <v>Cash</v>
      </c>
    </row>
    <row r="65" spans="1:9" x14ac:dyDescent="0.3">
      <c r="A65" s="3">
        <v>46307</v>
      </c>
      <c r="B65" s="4" t="s">
        <v>16</v>
      </c>
      <c r="C65" s="4" t="s">
        <v>8</v>
      </c>
      <c r="D65" s="4">
        <v>21</v>
      </c>
      <c r="E65" s="14">
        <v>250</v>
      </c>
      <c r="F65" s="14">
        <f t="shared" si="0"/>
        <v>5250</v>
      </c>
      <c r="G65" s="4" t="s">
        <v>9</v>
      </c>
      <c r="H65" s="5" t="str">
        <f t="shared" si="1"/>
        <v>Not Eligible</v>
      </c>
      <c r="I65" s="4" t="str">
        <f t="shared" si="2"/>
        <v>Digital</v>
      </c>
    </row>
    <row r="66" spans="1:9" x14ac:dyDescent="0.3">
      <c r="A66" s="3">
        <v>46307</v>
      </c>
      <c r="B66" s="4" t="s">
        <v>17</v>
      </c>
      <c r="C66" s="4" t="s">
        <v>8</v>
      </c>
      <c r="D66" s="4">
        <v>22</v>
      </c>
      <c r="E66" s="14">
        <v>120</v>
      </c>
      <c r="F66" s="14">
        <f t="shared" si="0"/>
        <v>2640</v>
      </c>
      <c r="G66" s="4" t="s">
        <v>13</v>
      </c>
      <c r="H66" s="5" t="str">
        <f t="shared" si="1"/>
        <v>Not Eligible</v>
      </c>
      <c r="I66" s="4" t="str">
        <f t="shared" si="2"/>
        <v>Cash</v>
      </c>
    </row>
    <row r="67" spans="1:9" x14ac:dyDescent="0.3">
      <c r="A67" s="3">
        <v>46307</v>
      </c>
      <c r="B67" s="4" t="s">
        <v>15</v>
      </c>
      <c r="C67" s="4" t="s">
        <v>8</v>
      </c>
      <c r="D67" s="4">
        <v>5</v>
      </c>
      <c r="E67" s="14">
        <v>160</v>
      </c>
      <c r="F67" s="14">
        <f t="shared" si="0"/>
        <v>800</v>
      </c>
      <c r="G67" s="4" t="s">
        <v>10</v>
      </c>
      <c r="H67" s="5" t="str">
        <f t="shared" si="1"/>
        <v>Not Eligible</v>
      </c>
      <c r="I67" s="4" t="str">
        <f t="shared" si="2"/>
        <v>Digital</v>
      </c>
    </row>
    <row r="68" spans="1:9" x14ac:dyDescent="0.3">
      <c r="A68" s="3">
        <v>46308</v>
      </c>
      <c r="B68" s="4" t="s">
        <v>7</v>
      </c>
      <c r="C68" s="4" t="s">
        <v>8</v>
      </c>
      <c r="D68" s="4">
        <v>16</v>
      </c>
      <c r="E68" s="14">
        <v>200</v>
      </c>
      <c r="F68" s="14">
        <f t="shared" ref="F68:F131" si="3">D68*E68</f>
        <v>3200</v>
      </c>
      <c r="G68" s="4" t="s">
        <v>13</v>
      </c>
      <c r="H68" s="5" t="str">
        <f t="shared" ref="H68:H131" si="4">IF(AND(D68&gt;50,C68="Beverages"),"Eligible","Not Eligible")</f>
        <v>Not Eligible</v>
      </c>
      <c r="I68" s="4" t="str">
        <f t="shared" ref="I68:I131" si="5">IF(OR(UPPER(G68)="CARD",UPPER(G68)="UPI"),"Digital",IF(UPPER(G68)="CASH","Cash"," "))</f>
        <v>Cash</v>
      </c>
    </row>
    <row r="69" spans="1:9" x14ac:dyDescent="0.3">
      <c r="A69" s="3">
        <v>46308</v>
      </c>
      <c r="B69" s="4" t="s">
        <v>18</v>
      </c>
      <c r="C69" s="4" t="s">
        <v>8</v>
      </c>
      <c r="D69" s="4">
        <v>30</v>
      </c>
      <c r="E69" s="14">
        <v>220</v>
      </c>
      <c r="F69" s="14">
        <f t="shared" si="3"/>
        <v>6600</v>
      </c>
      <c r="G69" s="4" t="s">
        <v>13</v>
      </c>
      <c r="H69" s="5" t="str">
        <f t="shared" si="4"/>
        <v>Not Eligible</v>
      </c>
      <c r="I69" s="4" t="str">
        <f t="shared" si="5"/>
        <v>Cash</v>
      </c>
    </row>
    <row r="70" spans="1:9" x14ac:dyDescent="0.3">
      <c r="A70" s="3">
        <v>46308</v>
      </c>
      <c r="B70" s="4" t="s">
        <v>18</v>
      </c>
      <c r="C70" s="4" t="s">
        <v>8</v>
      </c>
      <c r="D70" s="4">
        <v>10</v>
      </c>
      <c r="E70" s="14">
        <v>220</v>
      </c>
      <c r="F70" s="14">
        <f t="shared" si="3"/>
        <v>2200</v>
      </c>
      <c r="G70" s="4" t="s">
        <v>13</v>
      </c>
      <c r="H70" s="5" t="str">
        <f t="shared" si="4"/>
        <v>Not Eligible</v>
      </c>
      <c r="I70" s="4" t="str">
        <f t="shared" si="5"/>
        <v>Cash</v>
      </c>
    </row>
    <row r="71" spans="1:9" x14ac:dyDescent="0.3">
      <c r="A71" s="3">
        <v>46308</v>
      </c>
      <c r="B71" s="4" t="s">
        <v>7</v>
      </c>
      <c r="C71" s="4" t="s">
        <v>8</v>
      </c>
      <c r="D71" s="4">
        <v>12</v>
      </c>
      <c r="E71" s="14">
        <v>200</v>
      </c>
      <c r="F71" s="14">
        <f t="shared" si="3"/>
        <v>2400</v>
      </c>
      <c r="G71" s="4" t="s">
        <v>9</v>
      </c>
      <c r="H71" s="5" t="str">
        <f t="shared" si="4"/>
        <v>Not Eligible</v>
      </c>
      <c r="I71" s="4" t="str">
        <f t="shared" si="5"/>
        <v>Digital</v>
      </c>
    </row>
    <row r="72" spans="1:9" x14ac:dyDescent="0.3">
      <c r="A72" s="3">
        <v>46308</v>
      </c>
      <c r="B72" s="4" t="s">
        <v>23</v>
      </c>
      <c r="C72" s="4" t="s">
        <v>12</v>
      </c>
      <c r="D72" s="4">
        <v>12</v>
      </c>
      <c r="E72" s="14">
        <v>30</v>
      </c>
      <c r="F72" s="14">
        <f t="shared" si="3"/>
        <v>360</v>
      </c>
      <c r="G72" s="4" t="s">
        <v>13</v>
      </c>
      <c r="H72" s="5" t="str">
        <f t="shared" si="4"/>
        <v>Not Eligible</v>
      </c>
      <c r="I72" s="4" t="str">
        <f t="shared" si="5"/>
        <v>Cash</v>
      </c>
    </row>
    <row r="73" spans="1:9" x14ac:dyDescent="0.3">
      <c r="A73" s="3">
        <v>46308</v>
      </c>
      <c r="B73" s="4" t="s">
        <v>7</v>
      </c>
      <c r="C73" s="4" t="s">
        <v>8</v>
      </c>
      <c r="D73" s="4">
        <v>55</v>
      </c>
      <c r="E73" s="14">
        <v>200</v>
      </c>
      <c r="F73" s="14">
        <f t="shared" si="3"/>
        <v>11000</v>
      </c>
      <c r="G73" s="4" t="s">
        <v>10</v>
      </c>
      <c r="H73" s="5" t="str">
        <f t="shared" si="4"/>
        <v>Not Eligible</v>
      </c>
      <c r="I73" s="4" t="str">
        <f t="shared" si="5"/>
        <v>Digital</v>
      </c>
    </row>
    <row r="74" spans="1:9" x14ac:dyDescent="0.3">
      <c r="A74" s="3">
        <v>46309</v>
      </c>
      <c r="B74" s="4" t="s">
        <v>17</v>
      </c>
      <c r="C74" s="4" t="s">
        <v>8</v>
      </c>
      <c r="D74" s="4">
        <v>13</v>
      </c>
      <c r="E74" s="14">
        <v>120</v>
      </c>
      <c r="F74" s="14">
        <f t="shared" si="3"/>
        <v>1560</v>
      </c>
      <c r="G74" s="4" t="s">
        <v>9</v>
      </c>
      <c r="H74" s="5" t="str">
        <f t="shared" si="4"/>
        <v>Not Eligible</v>
      </c>
      <c r="I74" s="4" t="str">
        <f t="shared" si="5"/>
        <v>Digital</v>
      </c>
    </row>
    <row r="75" spans="1:9" x14ac:dyDescent="0.3">
      <c r="A75" s="3">
        <v>46309</v>
      </c>
      <c r="B75" s="4" t="s">
        <v>16</v>
      </c>
      <c r="C75" s="4" t="s">
        <v>8</v>
      </c>
      <c r="D75" s="4">
        <v>12</v>
      </c>
      <c r="E75" s="14">
        <v>250</v>
      </c>
      <c r="F75" s="14">
        <f t="shared" si="3"/>
        <v>3000</v>
      </c>
      <c r="G75" s="4" t="s">
        <v>9</v>
      </c>
      <c r="H75" s="5" t="str">
        <f t="shared" si="4"/>
        <v>Not Eligible</v>
      </c>
      <c r="I75" s="4" t="str">
        <f t="shared" si="5"/>
        <v>Digital</v>
      </c>
    </row>
    <row r="76" spans="1:9" x14ac:dyDescent="0.3">
      <c r="A76" s="3">
        <v>46309</v>
      </c>
      <c r="B76" s="4" t="s">
        <v>22</v>
      </c>
      <c r="C76" s="4" t="s">
        <v>12</v>
      </c>
      <c r="D76" s="4">
        <v>70</v>
      </c>
      <c r="E76" s="14">
        <v>40</v>
      </c>
      <c r="F76" s="14">
        <f t="shared" si="3"/>
        <v>2800</v>
      </c>
      <c r="G76" s="4" t="s">
        <v>10</v>
      </c>
      <c r="H76" s="5" t="str">
        <f t="shared" si="4"/>
        <v>Eligible</v>
      </c>
      <c r="I76" s="4" t="str">
        <f t="shared" si="5"/>
        <v>Digital</v>
      </c>
    </row>
    <row r="77" spans="1:9" x14ac:dyDescent="0.3">
      <c r="A77" s="3">
        <v>46309</v>
      </c>
      <c r="B77" s="4" t="s">
        <v>20</v>
      </c>
      <c r="C77" s="4" t="s">
        <v>21</v>
      </c>
      <c r="D77" s="4">
        <v>5</v>
      </c>
      <c r="E77" s="14">
        <v>90</v>
      </c>
      <c r="F77" s="14">
        <f t="shared" si="3"/>
        <v>450</v>
      </c>
      <c r="G77" s="4" t="s">
        <v>10</v>
      </c>
      <c r="H77" s="5" t="str">
        <f t="shared" si="4"/>
        <v>Not Eligible</v>
      </c>
      <c r="I77" s="4" t="str">
        <f t="shared" si="5"/>
        <v>Digital</v>
      </c>
    </row>
    <row r="78" spans="1:9" x14ac:dyDescent="0.3">
      <c r="A78" s="3">
        <v>46310</v>
      </c>
      <c r="B78" s="4" t="s">
        <v>15</v>
      </c>
      <c r="C78" s="4" t="s">
        <v>8</v>
      </c>
      <c r="D78" s="4">
        <v>14</v>
      </c>
      <c r="E78" s="14">
        <v>160</v>
      </c>
      <c r="F78" s="14">
        <f t="shared" si="3"/>
        <v>2240</v>
      </c>
      <c r="G78" s="4" t="s">
        <v>10</v>
      </c>
      <c r="H78" s="5" t="str">
        <f t="shared" si="4"/>
        <v>Not Eligible</v>
      </c>
      <c r="I78" s="4" t="str">
        <f t="shared" si="5"/>
        <v>Digital</v>
      </c>
    </row>
    <row r="79" spans="1:9" x14ac:dyDescent="0.3">
      <c r="A79" s="3">
        <v>46310</v>
      </c>
      <c r="B79" s="4" t="s">
        <v>11</v>
      </c>
      <c r="C79" s="4" t="s">
        <v>12</v>
      </c>
      <c r="D79" s="4">
        <v>14</v>
      </c>
      <c r="E79" s="14">
        <v>70</v>
      </c>
      <c r="F79" s="14">
        <f t="shared" si="3"/>
        <v>980</v>
      </c>
      <c r="G79" s="4" t="s">
        <v>9</v>
      </c>
      <c r="H79" s="5" t="str">
        <f t="shared" si="4"/>
        <v>Not Eligible</v>
      </c>
      <c r="I79" s="4" t="str">
        <f t="shared" si="5"/>
        <v>Digital</v>
      </c>
    </row>
    <row r="80" spans="1:9" x14ac:dyDescent="0.3">
      <c r="A80" s="3">
        <v>46310</v>
      </c>
      <c r="B80" s="4" t="s">
        <v>18</v>
      </c>
      <c r="C80" s="4" t="s">
        <v>8</v>
      </c>
      <c r="D80" s="4">
        <v>32</v>
      </c>
      <c r="E80" s="14">
        <v>220</v>
      </c>
      <c r="F80" s="14">
        <f t="shared" si="3"/>
        <v>7040</v>
      </c>
      <c r="G80" s="4" t="s">
        <v>10</v>
      </c>
      <c r="H80" s="5" t="str">
        <f t="shared" si="4"/>
        <v>Not Eligible</v>
      </c>
      <c r="I80" s="4" t="str">
        <f t="shared" si="5"/>
        <v>Digital</v>
      </c>
    </row>
    <row r="81" spans="1:9" x14ac:dyDescent="0.3">
      <c r="A81" s="3">
        <v>46310</v>
      </c>
      <c r="B81" s="4" t="s">
        <v>20</v>
      </c>
      <c r="C81" s="4" t="s">
        <v>21</v>
      </c>
      <c r="D81" s="4">
        <v>3</v>
      </c>
      <c r="E81" s="14">
        <v>90</v>
      </c>
      <c r="F81" s="14">
        <f t="shared" si="3"/>
        <v>270</v>
      </c>
      <c r="G81" s="4" t="s">
        <v>10</v>
      </c>
      <c r="H81" s="5" t="str">
        <f t="shared" si="4"/>
        <v>Not Eligible</v>
      </c>
      <c r="I81" s="4" t="str">
        <f t="shared" si="5"/>
        <v>Digital</v>
      </c>
    </row>
    <row r="82" spans="1:9" x14ac:dyDescent="0.3">
      <c r="A82" s="3">
        <v>46310</v>
      </c>
      <c r="B82" s="4" t="s">
        <v>18</v>
      </c>
      <c r="C82" s="4" t="s">
        <v>8</v>
      </c>
      <c r="D82" s="4">
        <v>6</v>
      </c>
      <c r="E82" s="14">
        <v>220</v>
      </c>
      <c r="F82" s="14">
        <f t="shared" si="3"/>
        <v>1320</v>
      </c>
      <c r="G82" s="4" t="s">
        <v>10</v>
      </c>
      <c r="H82" s="5" t="str">
        <f t="shared" si="4"/>
        <v>Not Eligible</v>
      </c>
      <c r="I82" s="4" t="str">
        <f t="shared" si="5"/>
        <v>Digital</v>
      </c>
    </row>
    <row r="83" spans="1:9" x14ac:dyDescent="0.3">
      <c r="A83" s="3">
        <v>46310</v>
      </c>
      <c r="B83" s="4" t="s">
        <v>7</v>
      </c>
      <c r="C83" s="4" t="s">
        <v>8</v>
      </c>
      <c r="D83" s="4">
        <v>6</v>
      </c>
      <c r="E83" s="14">
        <v>200</v>
      </c>
      <c r="F83" s="14">
        <f t="shared" si="3"/>
        <v>1200</v>
      </c>
      <c r="G83" s="4" t="s">
        <v>10</v>
      </c>
      <c r="H83" s="5" t="str">
        <f t="shared" si="4"/>
        <v>Not Eligible</v>
      </c>
      <c r="I83" s="4" t="str">
        <f t="shared" si="5"/>
        <v>Digital</v>
      </c>
    </row>
    <row r="84" spans="1:9" x14ac:dyDescent="0.3">
      <c r="A84" s="3">
        <v>46311</v>
      </c>
      <c r="B84" s="4" t="s">
        <v>18</v>
      </c>
      <c r="C84" s="4" t="s">
        <v>8</v>
      </c>
      <c r="D84" s="4">
        <v>11</v>
      </c>
      <c r="E84" s="14">
        <v>220</v>
      </c>
      <c r="F84" s="14">
        <f t="shared" si="3"/>
        <v>2420</v>
      </c>
      <c r="G84" s="4" t="s">
        <v>9</v>
      </c>
      <c r="H84" s="5" t="str">
        <f t="shared" si="4"/>
        <v>Not Eligible</v>
      </c>
      <c r="I84" s="4" t="str">
        <f t="shared" si="5"/>
        <v>Digital</v>
      </c>
    </row>
    <row r="85" spans="1:9" x14ac:dyDescent="0.3">
      <c r="A85" s="3">
        <v>46311</v>
      </c>
      <c r="B85" s="4" t="s">
        <v>7</v>
      </c>
      <c r="C85" s="4" t="s">
        <v>8</v>
      </c>
      <c r="D85" s="4">
        <v>13</v>
      </c>
      <c r="E85" s="14">
        <v>200</v>
      </c>
      <c r="F85" s="14">
        <f t="shared" si="3"/>
        <v>2600</v>
      </c>
      <c r="G85" s="4" t="s">
        <v>13</v>
      </c>
      <c r="H85" s="5" t="str">
        <f t="shared" si="4"/>
        <v>Not Eligible</v>
      </c>
      <c r="I85" s="4" t="str">
        <f t="shared" si="5"/>
        <v>Cash</v>
      </c>
    </row>
    <row r="86" spans="1:9" x14ac:dyDescent="0.3">
      <c r="A86" s="3">
        <v>46311</v>
      </c>
      <c r="B86" s="4" t="s">
        <v>17</v>
      </c>
      <c r="C86" s="4" t="s">
        <v>8</v>
      </c>
      <c r="D86" s="4">
        <v>11</v>
      </c>
      <c r="E86" s="14">
        <v>120</v>
      </c>
      <c r="F86" s="14">
        <f t="shared" si="3"/>
        <v>1320</v>
      </c>
      <c r="G86" s="4" t="s">
        <v>10</v>
      </c>
      <c r="H86" s="5" t="str">
        <f t="shared" si="4"/>
        <v>Not Eligible</v>
      </c>
      <c r="I86" s="4" t="str">
        <f t="shared" si="5"/>
        <v>Digital</v>
      </c>
    </row>
    <row r="87" spans="1:9" x14ac:dyDescent="0.3">
      <c r="A87" s="3">
        <v>46311</v>
      </c>
      <c r="B87" s="4" t="s">
        <v>15</v>
      </c>
      <c r="C87" s="4" t="s">
        <v>8</v>
      </c>
      <c r="D87" s="4">
        <v>4</v>
      </c>
      <c r="E87" s="14">
        <v>160</v>
      </c>
      <c r="F87" s="14">
        <f t="shared" si="3"/>
        <v>640</v>
      </c>
      <c r="G87" s="4" t="s">
        <v>13</v>
      </c>
      <c r="H87" s="5" t="str">
        <f t="shared" si="4"/>
        <v>Not Eligible</v>
      </c>
      <c r="I87" s="4" t="str">
        <f t="shared" si="5"/>
        <v>Cash</v>
      </c>
    </row>
    <row r="88" spans="1:9" x14ac:dyDescent="0.3">
      <c r="A88" s="3">
        <v>46311</v>
      </c>
      <c r="B88" s="4" t="s">
        <v>16</v>
      </c>
      <c r="C88" s="4" t="s">
        <v>8</v>
      </c>
      <c r="D88" s="4">
        <v>45</v>
      </c>
      <c r="E88" s="14">
        <v>250</v>
      </c>
      <c r="F88" s="14">
        <f t="shared" si="3"/>
        <v>11250</v>
      </c>
      <c r="G88" s="4" t="s">
        <v>13</v>
      </c>
      <c r="H88" s="5" t="str">
        <f t="shared" si="4"/>
        <v>Not Eligible</v>
      </c>
      <c r="I88" s="4" t="str">
        <f t="shared" si="5"/>
        <v>Cash</v>
      </c>
    </row>
    <row r="89" spans="1:9" x14ac:dyDescent="0.3">
      <c r="A89" s="3">
        <v>46311</v>
      </c>
      <c r="B89" s="4" t="s">
        <v>15</v>
      </c>
      <c r="C89" s="4" t="s">
        <v>8</v>
      </c>
      <c r="D89" s="4">
        <v>7</v>
      </c>
      <c r="E89" s="14">
        <v>160</v>
      </c>
      <c r="F89" s="14">
        <f t="shared" si="3"/>
        <v>1120</v>
      </c>
      <c r="G89" s="4" t="s">
        <v>10</v>
      </c>
      <c r="H89" s="5" t="str">
        <f t="shared" si="4"/>
        <v>Not Eligible</v>
      </c>
      <c r="I89" s="4" t="str">
        <f t="shared" si="5"/>
        <v>Digital</v>
      </c>
    </row>
    <row r="90" spans="1:9" x14ac:dyDescent="0.3">
      <c r="A90" s="3">
        <v>46312</v>
      </c>
      <c r="B90" s="4" t="s">
        <v>7</v>
      </c>
      <c r="C90" s="4" t="s">
        <v>8</v>
      </c>
      <c r="D90" s="4">
        <v>47</v>
      </c>
      <c r="E90" s="14">
        <v>200</v>
      </c>
      <c r="F90" s="14">
        <f t="shared" si="3"/>
        <v>9400</v>
      </c>
      <c r="G90" s="4" t="s">
        <v>10</v>
      </c>
      <c r="H90" s="5" t="str">
        <f t="shared" si="4"/>
        <v>Not Eligible</v>
      </c>
      <c r="I90" s="4" t="str">
        <f t="shared" si="5"/>
        <v>Digital</v>
      </c>
    </row>
    <row r="91" spans="1:9" x14ac:dyDescent="0.3">
      <c r="A91" s="3">
        <v>46312</v>
      </c>
      <c r="B91" s="4" t="s">
        <v>16</v>
      </c>
      <c r="C91" s="4" t="s">
        <v>8</v>
      </c>
      <c r="D91" s="4">
        <v>3</v>
      </c>
      <c r="E91" s="14">
        <v>250</v>
      </c>
      <c r="F91" s="14">
        <f t="shared" si="3"/>
        <v>750</v>
      </c>
      <c r="G91" s="4" t="s">
        <v>13</v>
      </c>
      <c r="H91" s="5" t="str">
        <f t="shared" si="4"/>
        <v>Not Eligible</v>
      </c>
      <c r="I91" s="4" t="str">
        <f t="shared" si="5"/>
        <v>Cash</v>
      </c>
    </row>
    <row r="92" spans="1:9" x14ac:dyDescent="0.3">
      <c r="A92" s="3">
        <v>46312</v>
      </c>
      <c r="B92" s="4" t="s">
        <v>23</v>
      </c>
      <c r="C92" s="4" t="s">
        <v>12</v>
      </c>
      <c r="D92" s="4">
        <v>7</v>
      </c>
      <c r="E92" s="14">
        <v>30</v>
      </c>
      <c r="F92" s="14">
        <f t="shared" si="3"/>
        <v>210</v>
      </c>
      <c r="G92" s="4" t="s">
        <v>10</v>
      </c>
      <c r="H92" s="5" t="str">
        <f t="shared" si="4"/>
        <v>Not Eligible</v>
      </c>
      <c r="I92" s="4" t="str">
        <f t="shared" si="5"/>
        <v>Digital</v>
      </c>
    </row>
    <row r="93" spans="1:9" x14ac:dyDescent="0.3">
      <c r="A93" s="3">
        <v>46312</v>
      </c>
      <c r="B93" s="4" t="s">
        <v>18</v>
      </c>
      <c r="C93" s="4" t="s">
        <v>8</v>
      </c>
      <c r="D93" s="4">
        <v>7</v>
      </c>
      <c r="E93" s="14">
        <v>220</v>
      </c>
      <c r="F93" s="14">
        <f t="shared" si="3"/>
        <v>1540</v>
      </c>
      <c r="G93" s="4" t="s">
        <v>9</v>
      </c>
      <c r="H93" s="5" t="str">
        <f t="shared" si="4"/>
        <v>Not Eligible</v>
      </c>
      <c r="I93" s="4" t="str">
        <f t="shared" si="5"/>
        <v>Digital</v>
      </c>
    </row>
    <row r="94" spans="1:9" x14ac:dyDescent="0.3">
      <c r="A94" s="3">
        <v>46312</v>
      </c>
      <c r="B94" s="4" t="s">
        <v>7</v>
      </c>
      <c r="C94" s="4" t="s">
        <v>8</v>
      </c>
      <c r="D94" s="4">
        <v>22</v>
      </c>
      <c r="E94" s="14">
        <v>200</v>
      </c>
      <c r="F94" s="14">
        <f t="shared" si="3"/>
        <v>4400</v>
      </c>
      <c r="G94" s="4" t="s">
        <v>10</v>
      </c>
      <c r="H94" s="5" t="str">
        <f t="shared" si="4"/>
        <v>Not Eligible</v>
      </c>
      <c r="I94" s="4" t="str">
        <f t="shared" si="5"/>
        <v>Digital</v>
      </c>
    </row>
    <row r="95" spans="1:9" x14ac:dyDescent="0.3">
      <c r="A95" s="3">
        <v>46313</v>
      </c>
      <c r="B95" s="4" t="s">
        <v>11</v>
      </c>
      <c r="C95" s="4" t="s">
        <v>12</v>
      </c>
      <c r="D95" s="4">
        <v>9</v>
      </c>
      <c r="E95" s="14">
        <v>70</v>
      </c>
      <c r="F95" s="14">
        <f t="shared" si="3"/>
        <v>630</v>
      </c>
      <c r="G95" s="4" t="s">
        <v>10</v>
      </c>
      <c r="H95" s="5" t="str">
        <f t="shared" si="4"/>
        <v>Not Eligible</v>
      </c>
      <c r="I95" s="4" t="str">
        <f t="shared" si="5"/>
        <v>Digital</v>
      </c>
    </row>
    <row r="96" spans="1:9" x14ac:dyDescent="0.3">
      <c r="A96" s="3">
        <v>46313</v>
      </c>
      <c r="B96" s="4" t="s">
        <v>15</v>
      </c>
      <c r="C96" s="4" t="s">
        <v>8</v>
      </c>
      <c r="D96" s="4">
        <v>16</v>
      </c>
      <c r="E96" s="14">
        <v>160</v>
      </c>
      <c r="F96" s="14">
        <f t="shared" si="3"/>
        <v>2560</v>
      </c>
      <c r="G96" s="4" t="s">
        <v>10</v>
      </c>
      <c r="H96" s="5" t="str">
        <f t="shared" si="4"/>
        <v>Not Eligible</v>
      </c>
      <c r="I96" s="4" t="str">
        <f t="shared" si="5"/>
        <v>Digital</v>
      </c>
    </row>
    <row r="97" spans="1:9" x14ac:dyDescent="0.3">
      <c r="A97" s="3">
        <v>46313</v>
      </c>
      <c r="B97" s="4" t="s">
        <v>14</v>
      </c>
      <c r="C97" s="4" t="s">
        <v>8</v>
      </c>
      <c r="D97" s="4">
        <v>10</v>
      </c>
      <c r="E97" s="14">
        <v>180</v>
      </c>
      <c r="F97" s="14">
        <f t="shared" si="3"/>
        <v>1800</v>
      </c>
      <c r="G97" s="4" t="s">
        <v>10</v>
      </c>
      <c r="H97" s="5" t="str">
        <f t="shared" si="4"/>
        <v>Not Eligible</v>
      </c>
      <c r="I97" s="4" t="str">
        <f t="shared" si="5"/>
        <v>Digital</v>
      </c>
    </row>
    <row r="98" spans="1:9" x14ac:dyDescent="0.3">
      <c r="A98" s="3">
        <v>46313</v>
      </c>
      <c r="B98" s="4" t="s">
        <v>24</v>
      </c>
      <c r="C98" s="4" t="s">
        <v>21</v>
      </c>
      <c r="D98" s="4">
        <v>8</v>
      </c>
      <c r="E98" s="14">
        <v>150</v>
      </c>
      <c r="F98" s="14">
        <f t="shared" si="3"/>
        <v>1200</v>
      </c>
      <c r="G98" s="4" t="s">
        <v>10</v>
      </c>
      <c r="H98" s="5" t="str">
        <f t="shared" si="4"/>
        <v>Not Eligible</v>
      </c>
      <c r="I98" s="4" t="str">
        <f t="shared" si="5"/>
        <v>Digital</v>
      </c>
    </row>
    <row r="99" spans="1:9" x14ac:dyDescent="0.3">
      <c r="A99" s="3">
        <v>46314</v>
      </c>
      <c r="B99" s="4" t="s">
        <v>7</v>
      </c>
      <c r="C99" s="4" t="s">
        <v>8</v>
      </c>
      <c r="D99" s="4">
        <v>35</v>
      </c>
      <c r="E99" s="14">
        <v>200</v>
      </c>
      <c r="F99" s="14">
        <f t="shared" si="3"/>
        <v>7000</v>
      </c>
      <c r="G99" s="4" t="s">
        <v>10</v>
      </c>
      <c r="H99" s="5" t="str">
        <f t="shared" si="4"/>
        <v>Not Eligible</v>
      </c>
      <c r="I99" s="4" t="str">
        <f t="shared" si="5"/>
        <v>Digital</v>
      </c>
    </row>
    <row r="100" spans="1:9" x14ac:dyDescent="0.3">
      <c r="A100" s="3">
        <v>46314</v>
      </c>
      <c r="B100" s="4" t="s">
        <v>16</v>
      </c>
      <c r="C100" s="4" t="s">
        <v>8</v>
      </c>
      <c r="D100" s="4">
        <v>12</v>
      </c>
      <c r="E100" s="14">
        <v>250</v>
      </c>
      <c r="F100" s="14">
        <f t="shared" si="3"/>
        <v>3000</v>
      </c>
      <c r="G100" s="4" t="s">
        <v>9</v>
      </c>
      <c r="H100" s="5" t="str">
        <f t="shared" si="4"/>
        <v>Not Eligible</v>
      </c>
      <c r="I100" s="4" t="str">
        <f t="shared" si="5"/>
        <v>Digital</v>
      </c>
    </row>
    <row r="101" spans="1:9" x14ac:dyDescent="0.3">
      <c r="A101" s="3">
        <v>46314</v>
      </c>
      <c r="B101" s="4" t="s">
        <v>19</v>
      </c>
      <c r="C101" s="4" t="s">
        <v>12</v>
      </c>
      <c r="D101" s="4">
        <v>7</v>
      </c>
      <c r="E101" s="14">
        <v>80</v>
      </c>
      <c r="F101" s="14">
        <f t="shared" si="3"/>
        <v>560</v>
      </c>
      <c r="G101" s="4" t="s">
        <v>13</v>
      </c>
      <c r="H101" s="5" t="str">
        <f t="shared" si="4"/>
        <v>Not Eligible</v>
      </c>
      <c r="I101" s="4" t="str">
        <f t="shared" si="5"/>
        <v>Cash</v>
      </c>
    </row>
    <row r="102" spans="1:9" x14ac:dyDescent="0.3">
      <c r="A102" s="3">
        <v>46314</v>
      </c>
      <c r="B102" s="4" t="s">
        <v>16</v>
      </c>
      <c r="C102" s="4" t="s">
        <v>8</v>
      </c>
      <c r="D102" s="4">
        <v>25</v>
      </c>
      <c r="E102" s="14">
        <v>250</v>
      </c>
      <c r="F102" s="14">
        <f t="shared" si="3"/>
        <v>6250</v>
      </c>
      <c r="G102" s="4" t="s">
        <v>10</v>
      </c>
      <c r="H102" s="5" t="str">
        <f t="shared" si="4"/>
        <v>Not Eligible</v>
      </c>
      <c r="I102" s="4" t="str">
        <f t="shared" si="5"/>
        <v>Digital</v>
      </c>
    </row>
    <row r="103" spans="1:9" x14ac:dyDescent="0.3">
      <c r="A103" s="3">
        <v>46315</v>
      </c>
      <c r="B103" s="4" t="s">
        <v>15</v>
      </c>
      <c r="C103" s="4" t="s">
        <v>8</v>
      </c>
      <c r="D103" s="4">
        <v>12</v>
      </c>
      <c r="E103" s="14">
        <v>160</v>
      </c>
      <c r="F103" s="14">
        <f t="shared" si="3"/>
        <v>1920</v>
      </c>
      <c r="G103" s="4" t="s">
        <v>9</v>
      </c>
      <c r="H103" s="5" t="str">
        <f t="shared" si="4"/>
        <v>Not Eligible</v>
      </c>
      <c r="I103" s="4" t="str">
        <f t="shared" si="5"/>
        <v>Digital</v>
      </c>
    </row>
    <row r="104" spans="1:9" x14ac:dyDescent="0.3">
      <c r="A104" s="3">
        <v>46315</v>
      </c>
      <c r="B104" s="4" t="s">
        <v>17</v>
      </c>
      <c r="C104" s="4" t="s">
        <v>8</v>
      </c>
      <c r="D104" s="4">
        <v>18</v>
      </c>
      <c r="E104" s="14">
        <v>120</v>
      </c>
      <c r="F104" s="14">
        <f t="shared" si="3"/>
        <v>2160</v>
      </c>
      <c r="G104" s="4" t="s">
        <v>9</v>
      </c>
      <c r="H104" s="5" t="str">
        <f t="shared" si="4"/>
        <v>Not Eligible</v>
      </c>
      <c r="I104" s="4" t="str">
        <f t="shared" si="5"/>
        <v>Digital</v>
      </c>
    </row>
    <row r="105" spans="1:9" x14ac:dyDescent="0.3">
      <c r="A105" s="3">
        <v>46315</v>
      </c>
      <c r="B105" s="4" t="s">
        <v>11</v>
      </c>
      <c r="C105" s="4" t="s">
        <v>12</v>
      </c>
      <c r="D105" s="4">
        <v>13</v>
      </c>
      <c r="E105" s="14">
        <v>70</v>
      </c>
      <c r="F105" s="14">
        <f t="shared" si="3"/>
        <v>910</v>
      </c>
      <c r="G105" s="4" t="s">
        <v>10</v>
      </c>
      <c r="H105" s="5" t="str">
        <f t="shared" si="4"/>
        <v>Not Eligible</v>
      </c>
      <c r="I105" s="4" t="str">
        <f t="shared" si="5"/>
        <v>Digital</v>
      </c>
    </row>
    <row r="106" spans="1:9" x14ac:dyDescent="0.3">
      <c r="A106" s="3">
        <v>46315</v>
      </c>
      <c r="B106" s="4" t="s">
        <v>17</v>
      </c>
      <c r="C106" s="4" t="s">
        <v>8</v>
      </c>
      <c r="D106" s="4">
        <v>16</v>
      </c>
      <c r="E106" s="14">
        <v>120</v>
      </c>
      <c r="F106" s="14">
        <f t="shared" si="3"/>
        <v>1920</v>
      </c>
      <c r="G106" s="4" t="s">
        <v>10</v>
      </c>
      <c r="H106" s="5" t="str">
        <f t="shared" si="4"/>
        <v>Not Eligible</v>
      </c>
      <c r="I106" s="4" t="str">
        <f t="shared" si="5"/>
        <v>Digital</v>
      </c>
    </row>
    <row r="107" spans="1:9" x14ac:dyDescent="0.3">
      <c r="A107" s="3">
        <v>46315</v>
      </c>
      <c r="B107" s="4" t="s">
        <v>7</v>
      </c>
      <c r="C107" s="4" t="s">
        <v>8</v>
      </c>
      <c r="D107" s="4">
        <v>45</v>
      </c>
      <c r="E107" s="14">
        <v>200</v>
      </c>
      <c r="F107" s="14">
        <f t="shared" si="3"/>
        <v>9000</v>
      </c>
      <c r="G107" s="4" t="s">
        <v>13</v>
      </c>
      <c r="H107" s="5" t="str">
        <f t="shared" si="4"/>
        <v>Not Eligible</v>
      </c>
      <c r="I107" s="4" t="str">
        <f t="shared" si="5"/>
        <v>Cash</v>
      </c>
    </row>
    <row r="108" spans="1:9" x14ac:dyDescent="0.3">
      <c r="A108" s="3">
        <v>46316</v>
      </c>
      <c r="B108" s="4" t="s">
        <v>7</v>
      </c>
      <c r="C108" s="4" t="s">
        <v>8</v>
      </c>
      <c r="D108" s="4">
        <v>16</v>
      </c>
      <c r="E108" s="14">
        <v>200</v>
      </c>
      <c r="F108" s="14">
        <f t="shared" si="3"/>
        <v>3200</v>
      </c>
      <c r="G108" s="4" t="s">
        <v>9</v>
      </c>
      <c r="H108" s="5" t="str">
        <f t="shared" si="4"/>
        <v>Not Eligible</v>
      </c>
      <c r="I108" s="4" t="str">
        <f t="shared" si="5"/>
        <v>Digital</v>
      </c>
    </row>
    <row r="109" spans="1:9" x14ac:dyDescent="0.3">
      <c r="A109" s="3">
        <v>46316</v>
      </c>
      <c r="B109" s="4" t="s">
        <v>19</v>
      </c>
      <c r="C109" s="4" t="s">
        <v>12</v>
      </c>
      <c r="D109" s="4">
        <v>16</v>
      </c>
      <c r="E109" s="14">
        <v>80</v>
      </c>
      <c r="F109" s="14">
        <f t="shared" si="3"/>
        <v>1280</v>
      </c>
      <c r="G109" s="4" t="s">
        <v>10</v>
      </c>
      <c r="H109" s="5" t="str">
        <f t="shared" si="4"/>
        <v>Not Eligible</v>
      </c>
      <c r="I109" s="4" t="str">
        <f t="shared" si="5"/>
        <v>Digital</v>
      </c>
    </row>
    <row r="110" spans="1:9" x14ac:dyDescent="0.3">
      <c r="A110" s="3">
        <v>46316</v>
      </c>
      <c r="B110" s="4" t="s">
        <v>16</v>
      </c>
      <c r="C110" s="4" t="s">
        <v>8</v>
      </c>
      <c r="D110" s="4">
        <v>9</v>
      </c>
      <c r="E110" s="14">
        <v>250</v>
      </c>
      <c r="F110" s="14">
        <f t="shared" si="3"/>
        <v>2250</v>
      </c>
      <c r="G110" s="4" t="s">
        <v>9</v>
      </c>
      <c r="H110" s="5" t="str">
        <f t="shared" si="4"/>
        <v>Not Eligible</v>
      </c>
      <c r="I110" s="4" t="str">
        <f t="shared" si="5"/>
        <v>Digital</v>
      </c>
    </row>
    <row r="111" spans="1:9" x14ac:dyDescent="0.3">
      <c r="A111" s="3">
        <v>46316</v>
      </c>
      <c r="B111" s="4" t="s">
        <v>14</v>
      </c>
      <c r="C111" s="4" t="s">
        <v>8</v>
      </c>
      <c r="D111" s="4">
        <v>3</v>
      </c>
      <c r="E111" s="14">
        <v>180</v>
      </c>
      <c r="F111" s="14">
        <f t="shared" si="3"/>
        <v>540</v>
      </c>
      <c r="G111" s="4" t="s">
        <v>10</v>
      </c>
      <c r="H111" s="5" t="str">
        <f t="shared" si="4"/>
        <v>Not Eligible</v>
      </c>
      <c r="I111" s="4" t="str">
        <f t="shared" si="5"/>
        <v>Digital</v>
      </c>
    </row>
    <row r="112" spans="1:9" x14ac:dyDescent="0.3">
      <c r="A112" s="3">
        <v>46316</v>
      </c>
      <c r="B112" s="4" t="s">
        <v>19</v>
      </c>
      <c r="C112" s="4" t="s">
        <v>12</v>
      </c>
      <c r="D112" s="4">
        <v>9</v>
      </c>
      <c r="E112" s="14">
        <v>80</v>
      </c>
      <c r="F112" s="14">
        <f t="shared" si="3"/>
        <v>720</v>
      </c>
      <c r="G112" s="4" t="s">
        <v>13</v>
      </c>
      <c r="H112" s="5" t="str">
        <f t="shared" si="4"/>
        <v>Not Eligible</v>
      </c>
      <c r="I112" s="4" t="str">
        <f t="shared" si="5"/>
        <v>Cash</v>
      </c>
    </row>
    <row r="113" spans="1:9" x14ac:dyDescent="0.3">
      <c r="A113" s="3">
        <v>46317</v>
      </c>
      <c r="B113" s="4" t="s">
        <v>22</v>
      </c>
      <c r="C113" s="4" t="s">
        <v>12</v>
      </c>
      <c r="D113" s="4">
        <v>13</v>
      </c>
      <c r="E113" s="14">
        <v>40</v>
      </c>
      <c r="F113" s="14">
        <f t="shared" si="3"/>
        <v>520</v>
      </c>
      <c r="G113" s="4" t="s">
        <v>13</v>
      </c>
      <c r="H113" s="5" t="str">
        <f t="shared" si="4"/>
        <v>Not Eligible</v>
      </c>
      <c r="I113" s="4" t="str">
        <f t="shared" si="5"/>
        <v>Cash</v>
      </c>
    </row>
    <row r="114" spans="1:9" x14ac:dyDescent="0.3">
      <c r="A114" s="3">
        <v>46317</v>
      </c>
      <c r="B114" s="4" t="s">
        <v>22</v>
      </c>
      <c r="C114" s="4" t="s">
        <v>12</v>
      </c>
      <c r="D114" s="4">
        <v>12</v>
      </c>
      <c r="E114" s="14">
        <v>40</v>
      </c>
      <c r="F114" s="14">
        <f t="shared" si="3"/>
        <v>480</v>
      </c>
      <c r="G114" s="4" t="s">
        <v>9</v>
      </c>
      <c r="H114" s="5" t="str">
        <f t="shared" si="4"/>
        <v>Not Eligible</v>
      </c>
      <c r="I114" s="4" t="str">
        <f t="shared" si="5"/>
        <v>Digital</v>
      </c>
    </row>
    <row r="115" spans="1:9" x14ac:dyDescent="0.3">
      <c r="A115" s="3">
        <v>46317</v>
      </c>
      <c r="B115" s="4" t="s">
        <v>17</v>
      </c>
      <c r="C115" s="4" t="s">
        <v>8</v>
      </c>
      <c r="D115" s="4">
        <v>7</v>
      </c>
      <c r="E115" s="14">
        <v>120</v>
      </c>
      <c r="F115" s="14">
        <f t="shared" si="3"/>
        <v>840</v>
      </c>
      <c r="G115" s="4" t="s">
        <v>13</v>
      </c>
      <c r="H115" s="5" t="str">
        <f t="shared" si="4"/>
        <v>Not Eligible</v>
      </c>
      <c r="I115" s="4" t="str">
        <f t="shared" si="5"/>
        <v>Cash</v>
      </c>
    </row>
    <row r="116" spans="1:9" x14ac:dyDescent="0.3">
      <c r="A116" s="3">
        <v>46317</v>
      </c>
      <c r="B116" s="4" t="s">
        <v>17</v>
      </c>
      <c r="C116" s="4" t="s">
        <v>8</v>
      </c>
      <c r="D116" s="4">
        <v>15</v>
      </c>
      <c r="E116" s="14">
        <v>120</v>
      </c>
      <c r="F116" s="14">
        <f t="shared" si="3"/>
        <v>1800</v>
      </c>
      <c r="G116" s="4" t="s">
        <v>10</v>
      </c>
      <c r="H116" s="5" t="str">
        <f t="shared" si="4"/>
        <v>Not Eligible</v>
      </c>
      <c r="I116" s="4" t="str">
        <f t="shared" si="5"/>
        <v>Digital</v>
      </c>
    </row>
    <row r="117" spans="1:9" x14ac:dyDescent="0.3">
      <c r="A117" s="3">
        <v>46317</v>
      </c>
      <c r="B117" s="4" t="s">
        <v>22</v>
      </c>
      <c r="C117" s="4" t="s">
        <v>12</v>
      </c>
      <c r="D117" s="4">
        <v>12</v>
      </c>
      <c r="E117" s="14">
        <v>40</v>
      </c>
      <c r="F117" s="14">
        <f t="shared" si="3"/>
        <v>480</v>
      </c>
      <c r="G117" s="4" t="s">
        <v>10</v>
      </c>
      <c r="H117" s="5" t="str">
        <f t="shared" si="4"/>
        <v>Not Eligible</v>
      </c>
      <c r="I117" s="4" t="str">
        <f t="shared" si="5"/>
        <v>Digital</v>
      </c>
    </row>
    <row r="118" spans="1:9" x14ac:dyDescent="0.3">
      <c r="A118" s="3">
        <v>46317</v>
      </c>
      <c r="B118" s="4" t="s">
        <v>15</v>
      </c>
      <c r="C118" s="4" t="s">
        <v>8</v>
      </c>
      <c r="D118" s="4">
        <v>9</v>
      </c>
      <c r="E118" s="14">
        <v>160</v>
      </c>
      <c r="F118" s="14">
        <f t="shared" si="3"/>
        <v>1440</v>
      </c>
      <c r="G118" s="4" t="s">
        <v>9</v>
      </c>
      <c r="H118" s="5" t="str">
        <f t="shared" si="4"/>
        <v>Not Eligible</v>
      </c>
      <c r="I118" s="4" t="str">
        <f t="shared" si="5"/>
        <v>Digital</v>
      </c>
    </row>
    <row r="119" spans="1:9" x14ac:dyDescent="0.3">
      <c r="A119" s="3">
        <v>46318</v>
      </c>
      <c r="B119" s="4" t="s">
        <v>17</v>
      </c>
      <c r="C119" s="4" t="s">
        <v>8</v>
      </c>
      <c r="D119" s="4">
        <v>13</v>
      </c>
      <c r="E119" s="14">
        <v>120</v>
      </c>
      <c r="F119" s="14">
        <f t="shared" si="3"/>
        <v>1560</v>
      </c>
      <c r="G119" s="4" t="s">
        <v>9</v>
      </c>
      <c r="H119" s="5" t="str">
        <f t="shared" si="4"/>
        <v>Not Eligible</v>
      </c>
      <c r="I119" s="4" t="str">
        <f t="shared" si="5"/>
        <v>Digital</v>
      </c>
    </row>
    <row r="120" spans="1:9" x14ac:dyDescent="0.3">
      <c r="A120" s="3">
        <v>46318</v>
      </c>
      <c r="B120" s="4" t="s">
        <v>16</v>
      </c>
      <c r="C120" s="4" t="s">
        <v>8</v>
      </c>
      <c r="D120" s="4">
        <v>9</v>
      </c>
      <c r="E120" s="14">
        <v>250</v>
      </c>
      <c r="F120" s="14">
        <f t="shared" si="3"/>
        <v>2250</v>
      </c>
      <c r="G120" s="4" t="s">
        <v>10</v>
      </c>
      <c r="H120" s="5" t="str">
        <f t="shared" si="4"/>
        <v>Not Eligible</v>
      </c>
      <c r="I120" s="4" t="str">
        <f t="shared" si="5"/>
        <v>Digital</v>
      </c>
    </row>
    <row r="121" spans="1:9" x14ac:dyDescent="0.3">
      <c r="A121" s="3">
        <v>46318</v>
      </c>
      <c r="B121" s="4" t="s">
        <v>19</v>
      </c>
      <c r="C121" s="4" t="s">
        <v>12</v>
      </c>
      <c r="D121" s="4">
        <v>8</v>
      </c>
      <c r="E121" s="14">
        <v>80</v>
      </c>
      <c r="F121" s="14">
        <f t="shared" si="3"/>
        <v>640</v>
      </c>
      <c r="G121" s="4" t="s">
        <v>9</v>
      </c>
      <c r="H121" s="5" t="str">
        <f t="shared" si="4"/>
        <v>Not Eligible</v>
      </c>
      <c r="I121" s="4" t="str">
        <f t="shared" si="5"/>
        <v>Digital</v>
      </c>
    </row>
    <row r="122" spans="1:9" x14ac:dyDescent="0.3">
      <c r="A122" s="3">
        <v>46318</v>
      </c>
      <c r="B122" s="4" t="s">
        <v>17</v>
      </c>
      <c r="C122" s="4" t="s">
        <v>8</v>
      </c>
      <c r="D122" s="4">
        <v>22</v>
      </c>
      <c r="E122" s="14">
        <v>120</v>
      </c>
      <c r="F122" s="14">
        <f t="shared" si="3"/>
        <v>2640</v>
      </c>
      <c r="G122" s="4" t="s">
        <v>13</v>
      </c>
      <c r="H122" s="5" t="str">
        <f t="shared" si="4"/>
        <v>Not Eligible</v>
      </c>
      <c r="I122" s="4" t="str">
        <f t="shared" si="5"/>
        <v>Cash</v>
      </c>
    </row>
    <row r="123" spans="1:9" x14ac:dyDescent="0.3">
      <c r="A123" s="3">
        <v>46318</v>
      </c>
      <c r="B123" s="4" t="s">
        <v>23</v>
      </c>
      <c r="C123" s="4" t="s">
        <v>12</v>
      </c>
      <c r="D123" s="4">
        <v>45</v>
      </c>
      <c r="E123" s="14">
        <v>30</v>
      </c>
      <c r="F123" s="14">
        <f t="shared" si="3"/>
        <v>1350</v>
      </c>
      <c r="G123" s="4" t="s">
        <v>9</v>
      </c>
      <c r="H123" s="5" t="str">
        <f t="shared" si="4"/>
        <v>Not Eligible</v>
      </c>
      <c r="I123" s="4" t="str">
        <f t="shared" si="5"/>
        <v>Digital</v>
      </c>
    </row>
    <row r="124" spans="1:9" x14ac:dyDescent="0.3">
      <c r="A124" s="3">
        <v>46318</v>
      </c>
      <c r="B124" s="4" t="s">
        <v>7</v>
      </c>
      <c r="C124" s="4" t="s">
        <v>8</v>
      </c>
      <c r="D124" s="4">
        <v>39</v>
      </c>
      <c r="E124" s="14">
        <v>200</v>
      </c>
      <c r="F124" s="14">
        <f t="shared" si="3"/>
        <v>7800</v>
      </c>
      <c r="G124" s="4" t="s">
        <v>13</v>
      </c>
      <c r="H124" s="5" t="str">
        <f t="shared" si="4"/>
        <v>Not Eligible</v>
      </c>
      <c r="I124" s="4" t="str">
        <f t="shared" si="5"/>
        <v>Cash</v>
      </c>
    </row>
    <row r="125" spans="1:9" x14ac:dyDescent="0.3">
      <c r="A125" s="3">
        <v>46319</v>
      </c>
      <c r="B125" s="4" t="s">
        <v>17</v>
      </c>
      <c r="C125" s="4" t="s">
        <v>8</v>
      </c>
      <c r="D125" s="4">
        <v>5</v>
      </c>
      <c r="E125" s="14">
        <v>120</v>
      </c>
      <c r="F125" s="14">
        <f t="shared" si="3"/>
        <v>600</v>
      </c>
      <c r="G125" s="4" t="s">
        <v>9</v>
      </c>
      <c r="H125" s="5" t="str">
        <f t="shared" si="4"/>
        <v>Not Eligible</v>
      </c>
      <c r="I125" s="4" t="str">
        <f t="shared" si="5"/>
        <v>Digital</v>
      </c>
    </row>
    <row r="126" spans="1:9" x14ac:dyDescent="0.3">
      <c r="A126" s="3">
        <v>46319</v>
      </c>
      <c r="B126" s="4" t="s">
        <v>11</v>
      </c>
      <c r="C126" s="4" t="s">
        <v>12</v>
      </c>
      <c r="D126" s="4">
        <v>9</v>
      </c>
      <c r="E126" s="14">
        <v>70</v>
      </c>
      <c r="F126" s="14">
        <f t="shared" si="3"/>
        <v>630</v>
      </c>
      <c r="G126" s="4" t="s">
        <v>9</v>
      </c>
      <c r="H126" s="5" t="str">
        <f t="shared" si="4"/>
        <v>Not Eligible</v>
      </c>
      <c r="I126" s="4" t="str">
        <f t="shared" si="5"/>
        <v>Digital</v>
      </c>
    </row>
    <row r="127" spans="1:9" x14ac:dyDescent="0.3">
      <c r="A127" s="3">
        <v>46319</v>
      </c>
      <c r="B127" s="4" t="s">
        <v>16</v>
      </c>
      <c r="C127" s="4" t="s">
        <v>8</v>
      </c>
      <c r="D127" s="4">
        <v>21</v>
      </c>
      <c r="E127" s="14">
        <v>250</v>
      </c>
      <c r="F127" s="14">
        <f t="shared" si="3"/>
        <v>5250</v>
      </c>
      <c r="G127" s="4" t="s">
        <v>10</v>
      </c>
      <c r="H127" s="5" t="str">
        <f t="shared" si="4"/>
        <v>Not Eligible</v>
      </c>
      <c r="I127" s="4" t="str">
        <f t="shared" si="5"/>
        <v>Digital</v>
      </c>
    </row>
    <row r="128" spans="1:9" x14ac:dyDescent="0.3">
      <c r="A128" s="3">
        <v>46319</v>
      </c>
      <c r="B128" s="4" t="s">
        <v>7</v>
      </c>
      <c r="C128" s="4" t="s">
        <v>8</v>
      </c>
      <c r="D128" s="4">
        <v>28</v>
      </c>
      <c r="E128" s="14">
        <v>200</v>
      </c>
      <c r="F128" s="14">
        <f t="shared" si="3"/>
        <v>5600</v>
      </c>
      <c r="G128" s="4" t="s">
        <v>10</v>
      </c>
      <c r="H128" s="5" t="str">
        <f t="shared" si="4"/>
        <v>Not Eligible</v>
      </c>
      <c r="I128" s="4" t="str">
        <f t="shared" si="5"/>
        <v>Digital</v>
      </c>
    </row>
    <row r="129" spans="1:9" x14ac:dyDescent="0.3">
      <c r="A129" s="3">
        <v>46319</v>
      </c>
      <c r="B129" s="4" t="s">
        <v>7</v>
      </c>
      <c r="C129" s="4" t="s">
        <v>8</v>
      </c>
      <c r="D129" s="4">
        <v>17</v>
      </c>
      <c r="E129" s="14">
        <v>200</v>
      </c>
      <c r="F129" s="14">
        <f t="shared" si="3"/>
        <v>3400</v>
      </c>
      <c r="G129" s="4" t="s">
        <v>13</v>
      </c>
      <c r="H129" s="5" t="str">
        <f t="shared" si="4"/>
        <v>Not Eligible</v>
      </c>
      <c r="I129" s="4" t="str">
        <f t="shared" si="5"/>
        <v>Cash</v>
      </c>
    </row>
    <row r="130" spans="1:9" x14ac:dyDescent="0.3">
      <c r="A130" s="3">
        <v>46320</v>
      </c>
      <c r="B130" s="4" t="s">
        <v>22</v>
      </c>
      <c r="C130" s="4" t="s">
        <v>12</v>
      </c>
      <c r="D130" s="4">
        <v>6</v>
      </c>
      <c r="E130" s="14">
        <v>40</v>
      </c>
      <c r="F130" s="14">
        <f t="shared" si="3"/>
        <v>240</v>
      </c>
      <c r="G130" s="4" t="s">
        <v>10</v>
      </c>
      <c r="H130" s="5" t="str">
        <f t="shared" si="4"/>
        <v>Not Eligible</v>
      </c>
      <c r="I130" s="4" t="str">
        <f t="shared" si="5"/>
        <v>Digital</v>
      </c>
    </row>
    <row r="131" spans="1:9" x14ac:dyDescent="0.3">
      <c r="A131" s="3">
        <v>46320</v>
      </c>
      <c r="B131" s="4" t="s">
        <v>17</v>
      </c>
      <c r="C131" s="4" t="s">
        <v>8</v>
      </c>
      <c r="D131" s="4">
        <v>13</v>
      </c>
      <c r="E131" s="14">
        <v>120</v>
      </c>
      <c r="F131" s="14">
        <f t="shared" si="3"/>
        <v>1560</v>
      </c>
      <c r="G131" s="4" t="s">
        <v>10</v>
      </c>
      <c r="H131" s="5" t="str">
        <f t="shared" si="4"/>
        <v>Not Eligible</v>
      </c>
      <c r="I131" s="4" t="str">
        <f t="shared" si="5"/>
        <v>Digital</v>
      </c>
    </row>
    <row r="132" spans="1:9" x14ac:dyDescent="0.3">
      <c r="A132" s="3">
        <v>46320</v>
      </c>
      <c r="B132" s="4" t="s">
        <v>11</v>
      </c>
      <c r="C132" s="4" t="s">
        <v>12</v>
      </c>
      <c r="D132" s="4">
        <v>16</v>
      </c>
      <c r="E132" s="14">
        <v>70</v>
      </c>
      <c r="F132" s="14">
        <f t="shared" ref="F132:F161" si="6">D132*E132</f>
        <v>1120</v>
      </c>
      <c r="G132" s="4" t="s">
        <v>10</v>
      </c>
      <c r="H132" s="5" t="str">
        <f t="shared" ref="H132:H161" si="7">IF(AND(D132&gt;50,C132="Beverages"),"Eligible","Not Eligible")</f>
        <v>Not Eligible</v>
      </c>
      <c r="I132" s="4" t="str">
        <f t="shared" ref="I132:I162" si="8">IF(OR(UPPER(G132)="CARD",UPPER(G132)="UPI"),"Digital",IF(UPPER(G132)="CASH","Cash"," "))</f>
        <v>Digital</v>
      </c>
    </row>
    <row r="133" spans="1:9" x14ac:dyDescent="0.3">
      <c r="A133" s="3">
        <v>46320</v>
      </c>
      <c r="B133" s="4" t="s">
        <v>11</v>
      </c>
      <c r="C133" s="4" t="s">
        <v>12</v>
      </c>
      <c r="D133" s="4">
        <v>18</v>
      </c>
      <c r="E133" s="14">
        <v>70</v>
      </c>
      <c r="F133" s="14">
        <f t="shared" si="6"/>
        <v>1260</v>
      </c>
      <c r="G133" s="4" t="s">
        <v>10</v>
      </c>
      <c r="H133" s="5" t="str">
        <f t="shared" si="7"/>
        <v>Not Eligible</v>
      </c>
      <c r="I133" s="4" t="str">
        <f t="shared" si="8"/>
        <v>Digital</v>
      </c>
    </row>
    <row r="134" spans="1:9" x14ac:dyDescent="0.3">
      <c r="A134" s="3">
        <v>46321</v>
      </c>
      <c r="B134" s="4" t="s">
        <v>15</v>
      </c>
      <c r="C134" s="4" t="s">
        <v>8</v>
      </c>
      <c r="D134" s="4">
        <v>22</v>
      </c>
      <c r="E134" s="14">
        <v>160</v>
      </c>
      <c r="F134" s="14">
        <f t="shared" si="6"/>
        <v>3520</v>
      </c>
      <c r="G134" s="4" t="s">
        <v>10</v>
      </c>
      <c r="H134" s="5" t="str">
        <f t="shared" si="7"/>
        <v>Not Eligible</v>
      </c>
      <c r="I134" s="4" t="str">
        <f t="shared" si="8"/>
        <v>Digital</v>
      </c>
    </row>
    <row r="135" spans="1:9" x14ac:dyDescent="0.3">
      <c r="A135" s="3">
        <v>46321</v>
      </c>
      <c r="B135" s="4" t="s">
        <v>15</v>
      </c>
      <c r="C135" s="4" t="s">
        <v>8</v>
      </c>
      <c r="D135" s="4">
        <v>6</v>
      </c>
      <c r="E135" s="14">
        <v>160</v>
      </c>
      <c r="F135" s="14">
        <f t="shared" si="6"/>
        <v>960</v>
      </c>
      <c r="G135" s="4" t="s">
        <v>10</v>
      </c>
      <c r="H135" s="5" t="str">
        <f t="shared" si="7"/>
        <v>Not Eligible</v>
      </c>
      <c r="I135" s="4" t="str">
        <f t="shared" si="8"/>
        <v>Digital</v>
      </c>
    </row>
    <row r="136" spans="1:9" x14ac:dyDescent="0.3">
      <c r="A136" s="3">
        <v>46321</v>
      </c>
      <c r="B136" s="4" t="s">
        <v>15</v>
      </c>
      <c r="C136" s="4" t="s">
        <v>8</v>
      </c>
      <c r="D136" s="4">
        <v>16</v>
      </c>
      <c r="E136" s="14">
        <v>160</v>
      </c>
      <c r="F136" s="14">
        <f t="shared" si="6"/>
        <v>2560</v>
      </c>
      <c r="G136" s="4" t="s">
        <v>9</v>
      </c>
      <c r="H136" s="5" t="str">
        <f t="shared" si="7"/>
        <v>Not Eligible</v>
      </c>
      <c r="I136" s="4" t="str">
        <f t="shared" si="8"/>
        <v>Digital</v>
      </c>
    </row>
    <row r="137" spans="1:9" x14ac:dyDescent="0.3">
      <c r="A137" s="3">
        <v>46321</v>
      </c>
      <c r="B137" s="4" t="s">
        <v>18</v>
      </c>
      <c r="C137" s="4" t="s">
        <v>8</v>
      </c>
      <c r="D137" s="4">
        <v>8</v>
      </c>
      <c r="E137" s="14">
        <v>220</v>
      </c>
      <c r="F137" s="14">
        <f t="shared" si="6"/>
        <v>1760</v>
      </c>
      <c r="G137" s="4" t="s">
        <v>13</v>
      </c>
      <c r="H137" s="5" t="str">
        <f t="shared" si="7"/>
        <v>Not Eligible</v>
      </c>
      <c r="I137" s="4" t="str">
        <f t="shared" si="8"/>
        <v>Cash</v>
      </c>
    </row>
    <row r="138" spans="1:9" x14ac:dyDescent="0.3">
      <c r="A138" s="3">
        <v>46321</v>
      </c>
      <c r="B138" s="4" t="s">
        <v>16</v>
      </c>
      <c r="C138" s="4" t="s">
        <v>8</v>
      </c>
      <c r="D138" s="4">
        <v>15</v>
      </c>
      <c r="E138" s="14">
        <v>250</v>
      </c>
      <c r="F138" s="14">
        <f t="shared" si="6"/>
        <v>3750</v>
      </c>
      <c r="G138" s="4" t="s">
        <v>10</v>
      </c>
      <c r="H138" s="5" t="str">
        <f t="shared" si="7"/>
        <v>Not Eligible</v>
      </c>
      <c r="I138" s="4" t="str">
        <f t="shared" si="8"/>
        <v>Digital</v>
      </c>
    </row>
    <row r="139" spans="1:9" x14ac:dyDescent="0.3">
      <c r="A139" s="3">
        <v>46321</v>
      </c>
      <c r="B139" s="4" t="s">
        <v>7</v>
      </c>
      <c r="C139" s="4" t="s">
        <v>8</v>
      </c>
      <c r="D139" s="4">
        <v>20</v>
      </c>
      <c r="E139" s="14">
        <v>200</v>
      </c>
      <c r="F139" s="14">
        <f t="shared" si="6"/>
        <v>4000</v>
      </c>
      <c r="G139" s="4" t="s">
        <v>9</v>
      </c>
      <c r="H139" s="5" t="str">
        <f t="shared" si="7"/>
        <v>Not Eligible</v>
      </c>
      <c r="I139" s="4" t="str">
        <f t="shared" si="8"/>
        <v>Digital</v>
      </c>
    </row>
    <row r="140" spans="1:9" x14ac:dyDescent="0.3">
      <c r="A140" s="3">
        <v>46322</v>
      </c>
      <c r="B140" s="4" t="s">
        <v>16</v>
      </c>
      <c r="C140" s="4" t="s">
        <v>8</v>
      </c>
      <c r="D140" s="4">
        <v>11</v>
      </c>
      <c r="E140" s="14">
        <v>250</v>
      </c>
      <c r="F140" s="14">
        <f t="shared" si="6"/>
        <v>2750</v>
      </c>
      <c r="G140" s="4" t="s">
        <v>10</v>
      </c>
      <c r="H140" s="5" t="str">
        <f t="shared" si="7"/>
        <v>Not Eligible</v>
      </c>
      <c r="I140" s="4" t="str">
        <f t="shared" si="8"/>
        <v>Digital</v>
      </c>
    </row>
    <row r="141" spans="1:9" x14ac:dyDescent="0.3">
      <c r="A141" s="3">
        <v>46322</v>
      </c>
      <c r="B141" s="4" t="s">
        <v>16</v>
      </c>
      <c r="C141" s="4" t="s">
        <v>8</v>
      </c>
      <c r="D141" s="4">
        <v>3</v>
      </c>
      <c r="E141" s="14">
        <v>250</v>
      </c>
      <c r="F141" s="14">
        <f t="shared" si="6"/>
        <v>750</v>
      </c>
      <c r="G141" s="4" t="s">
        <v>10</v>
      </c>
      <c r="H141" s="5" t="str">
        <f t="shared" si="7"/>
        <v>Not Eligible</v>
      </c>
      <c r="I141" s="4" t="str">
        <f t="shared" si="8"/>
        <v>Digital</v>
      </c>
    </row>
    <row r="142" spans="1:9" x14ac:dyDescent="0.3">
      <c r="A142" s="3">
        <v>46322</v>
      </c>
      <c r="B142" s="4" t="s">
        <v>14</v>
      </c>
      <c r="C142" s="4" t="s">
        <v>8</v>
      </c>
      <c r="D142" s="4">
        <v>18</v>
      </c>
      <c r="E142" s="14">
        <v>180</v>
      </c>
      <c r="F142" s="14">
        <f t="shared" si="6"/>
        <v>3240</v>
      </c>
      <c r="G142" s="4" t="s">
        <v>9</v>
      </c>
      <c r="H142" s="5" t="str">
        <f t="shared" si="7"/>
        <v>Not Eligible</v>
      </c>
      <c r="I142" s="4" t="str">
        <f t="shared" si="8"/>
        <v>Digital</v>
      </c>
    </row>
    <row r="143" spans="1:9" x14ac:dyDescent="0.3">
      <c r="A143" s="3">
        <v>46322</v>
      </c>
      <c r="B143" s="4" t="s">
        <v>23</v>
      </c>
      <c r="C143" s="4" t="s">
        <v>12</v>
      </c>
      <c r="D143" s="4">
        <v>15</v>
      </c>
      <c r="E143" s="14">
        <v>30</v>
      </c>
      <c r="F143" s="14">
        <f t="shared" si="6"/>
        <v>450</v>
      </c>
      <c r="G143" s="4" t="s">
        <v>10</v>
      </c>
      <c r="H143" s="5" t="str">
        <f t="shared" si="7"/>
        <v>Not Eligible</v>
      </c>
      <c r="I143" s="4" t="str">
        <f t="shared" si="8"/>
        <v>Digital</v>
      </c>
    </row>
    <row r="144" spans="1:9" x14ac:dyDescent="0.3">
      <c r="A144" s="3">
        <v>46322</v>
      </c>
      <c r="B144" s="4" t="s">
        <v>23</v>
      </c>
      <c r="C144" s="4" t="s">
        <v>12</v>
      </c>
      <c r="D144" s="4">
        <v>20</v>
      </c>
      <c r="E144" s="14">
        <v>30</v>
      </c>
      <c r="F144" s="14">
        <f t="shared" si="6"/>
        <v>600</v>
      </c>
      <c r="G144" s="4" t="s">
        <v>10</v>
      </c>
      <c r="H144" s="5" t="str">
        <f t="shared" si="7"/>
        <v>Not Eligible</v>
      </c>
      <c r="I144" s="4" t="str">
        <f t="shared" si="8"/>
        <v>Digital</v>
      </c>
    </row>
    <row r="145" spans="1:9" x14ac:dyDescent="0.3">
      <c r="A145" s="3">
        <v>46323</v>
      </c>
      <c r="B145" s="4" t="s">
        <v>11</v>
      </c>
      <c r="C145" s="4" t="s">
        <v>12</v>
      </c>
      <c r="D145" s="4">
        <v>18</v>
      </c>
      <c r="E145" s="14">
        <v>70</v>
      </c>
      <c r="F145" s="14">
        <f t="shared" si="6"/>
        <v>1260</v>
      </c>
      <c r="G145" s="4" t="s">
        <v>9</v>
      </c>
      <c r="H145" s="5" t="str">
        <f t="shared" si="7"/>
        <v>Not Eligible</v>
      </c>
      <c r="I145" s="4" t="str">
        <f t="shared" si="8"/>
        <v>Digital</v>
      </c>
    </row>
    <row r="146" spans="1:9" x14ac:dyDescent="0.3">
      <c r="A146" s="3">
        <v>46323</v>
      </c>
      <c r="B146" s="4" t="s">
        <v>7</v>
      </c>
      <c r="C146" s="4" t="s">
        <v>8</v>
      </c>
      <c r="D146" s="4">
        <v>45</v>
      </c>
      <c r="E146" s="14">
        <v>200</v>
      </c>
      <c r="F146" s="14">
        <f t="shared" si="6"/>
        <v>9000</v>
      </c>
      <c r="G146" s="4" t="s">
        <v>10</v>
      </c>
      <c r="H146" s="5" t="str">
        <f t="shared" si="7"/>
        <v>Not Eligible</v>
      </c>
      <c r="I146" s="4" t="str">
        <f t="shared" si="8"/>
        <v>Digital</v>
      </c>
    </row>
    <row r="147" spans="1:9" x14ac:dyDescent="0.3">
      <c r="A147" s="3">
        <v>46323</v>
      </c>
      <c r="B147" s="4" t="s">
        <v>19</v>
      </c>
      <c r="C147" s="4" t="s">
        <v>12</v>
      </c>
      <c r="D147" s="4">
        <v>8</v>
      </c>
      <c r="E147" s="14">
        <v>80</v>
      </c>
      <c r="F147" s="14">
        <f t="shared" si="6"/>
        <v>640</v>
      </c>
      <c r="G147" s="4" t="s">
        <v>10</v>
      </c>
      <c r="H147" s="5" t="str">
        <f t="shared" si="7"/>
        <v>Not Eligible</v>
      </c>
      <c r="I147" s="4" t="str">
        <f t="shared" si="8"/>
        <v>Digital</v>
      </c>
    </row>
    <row r="148" spans="1:9" x14ac:dyDescent="0.3">
      <c r="A148" s="3">
        <v>46323</v>
      </c>
      <c r="B148" s="4" t="s">
        <v>20</v>
      </c>
      <c r="C148" s="4" t="s">
        <v>21</v>
      </c>
      <c r="D148" s="4">
        <v>3</v>
      </c>
      <c r="E148" s="14">
        <v>90</v>
      </c>
      <c r="F148" s="14">
        <f t="shared" si="6"/>
        <v>270</v>
      </c>
      <c r="G148" s="4" t="s">
        <v>10</v>
      </c>
      <c r="H148" s="5" t="str">
        <f t="shared" si="7"/>
        <v>Not Eligible</v>
      </c>
      <c r="I148" s="4" t="str">
        <f t="shared" si="8"/>
        <v>Digital</v>
      </c>
    </row>
    <row r="149" spans="1:9" x14ac:dyDescent="0.3">
      <c r="A149" s="3">
        <v>46323</v>
      </c>
      <c r="B149" s="4" t="s">
        <v>18</v>
      </c>
      <c r="C149" s="4" t="s">
        <v>8</v>
      </c>
      <c r="D149" s="4">
        <v>3</v>
      </c>
      <c r="E149" s="14">
        <v>220</v>
      </c>
      <c r="F149" s="14">
        <f t="shared" si="6"/>
        <v>660</v>
      </c>
      <c r="G149" s="4" t="s">
        <v>13</v>
      </c>
      <c r="H149" s="5" t="str">
        <f t="shared" si="7"/>
        <v>Not Eligible</v>
      </c>
      <c r="I149" s="4" t="str">
        <f t="shared" si="8"/>
        <v>Cash</v>
      </c>
    </row>
    <row r="150" spans="1:9" x14ac:dyDescent="0.3">
      <c r="A150" s="3">
        <v>46323</v>
      </c>
      <c r="B150" s="4" t="s">
        <v>16</v>
      </c>
      <c r="C150" s="4" t="s">
        <v>8</v>
      </c>
      <c r="D150" s="4">
        <v>17</v>
      </c>
      <c r="E150" s="14">
        <v>250</v>
      </c>
      <c r="F150" s="14">
        <f t="shared" si="6"/>
        <v>4250</v>
      </c>
      <c r="G150" s="4" t="s">
        <v>13</v>
      </c>
      <c r="H150" s="5" t="str">
        <f t="shared" si="7"/>
        <v>Not Eligible</v>
      </c>
      <c r="I150" s="4" t="str">
        <f t="shared" si="8"/>
        <v>Cash</v>
      </c>
    </row>
    <row r="151" spans="1:9" x14ac:dyDescent="0.3">
      <c r="A151" s="3">
        <v>46324</v>
      </c>
      <c r="B151" s="4" t="s">
        <v>16</v>
      </c>
      <c r="C151" s="4" t="s">
        <v>8</v>
      </c>
      <c r="D151" s="4">
        <v>9</v>
      </c>
      <c r="E151" s="14">
        <v>250</v>
      </c>
      <c r="F151" s="14">
        <f t="shared" si="6"/>
        <v>2250</v>
      </c>
      <c r="G151" s="4" t="s">
        <v>9</v>
      </c>
      <c r="H151" s="5" t="str">
        <f t="shared" si="7"/>
        <v>Not Eligible</v>
      </c>
      <c r="I151" s="4" t="str">
        <f t="shared" si="8"/>
        <v>Digital</v>
      </c>
    </row>
    <row r="152" spans="1:9" x14ac:dyDescent="0.3">
      <c r="A152" s="3">
        <v>46324</v>
      </c>
      <c r="B152" s="4" t="s">
        <v>15</v>
      </c>
      <c r="C152" s="4" t="s">
        <v>8</v>
      </c>
      <c r="D152" s="4">
        <v>15</v>
      </c>
      <c r="E152" s="14">
        <v>160</v>
      </c>
      <c r="F152" s="14">
        <f t="shared" si="6"/>
        <v>2400</v>
      </c>
      <c r="G152" s="4" t="s">
        <v>9</v>
      </c>
      <c r="H152" s="5" t="str">
        <f t="shared" si="7"/>
        <v>Not Eligible</v>
      </c>
      <c r="I152" s="4" t="str">
        <f t="shared" si="8"/>
        <v>Digital</v>
      </c>
    </row>
    <row r="153" spans="1:9" x14ac:dyDescent="0.3">
      <c r="A153" s="3">
        <v>46324</v>
      </c>
      <c r="B153" s="4" t="s">
        <v>23</v>
      </c>
      <c r="C153" s="4" t="s">
        <v>12</v>
      </c>
      <c r="D153" s="4">
        <v>59</v>
      </c>
      <c r="E153" s="14">
        <v>30</v>
      </c>
      <c r="F153" s="14">
        <f t="shared" si="6"/>
        <v>1770</v>
      </c>
      <c r="G153" s="4" t="s">
        <v>13</v>
      </c>
      <c r="H153" s="5" t="str">
        <f t="shared" si="7"/>
        <v>Eligible</v>
      </c>
      <c r="I153" s="4" t="str">
        <f t="shared" si="8"/>
        <v>Cash</v>
      </c>
    </row>
    <row r="154" spans="1:9" x14ac:dyDescent="0.3">
      <c r="A154" s="3">
        <v>46324</v>
      </c>
      <c r="B154" s="4" t="s">
        <v>7</v>
      </c>
      <c r="C154" s="4" t="s">
        <v>8</v>
      </c>
      <c r="D154" s="4">
        <v>24</v>
      </c>
      <c r="E154" s="14">
        <v>200</v>
      </c>
      <c r="F154" s="14">
        <f t="shared" si="6"/>
        <v>4800</v>
      </c>
      <c r="G154" s="4" t="s">
        <v>10</v>
      </c>
      <c r="H154" s="5" t="str">
        <f t="shared" si="7"/>
        <v>Not Eligible</v>
      </c>
      <c r="I154" s="4" t="str">
        <f t="shared" si="8"/>
        <v>Digital</v>
      </c>
    </row>
    <row r="155" spans="1:9" x14ac:dyDescent="0.3">
      <c r="A155" s="3">
        <v>46324</v>
      </c>
      <c r="B155" s="4" t="s">
        <v>15</v>
      </c>
      <c r="C155" s="4" t="s">
        <v>8</v>
      </c>
      <c r="D155" s="4">
        <v>5</v>
      </c>
      <c r="E155" s="14">
        <v>160</v>
      </c>
      <c r="F155" s="14">
        <f t="shared" si="6"/>
        <v>800</v>
      </c>
      <c r="G155" s="4" t="s">
        <v>10</v>
      </c>
      <c r="H155" s="5" t="str">
        <f t="shared" si="7"/>
        <v>Not Eligible</v>
      </c>
      <c r="I155" s="4" t="str">
        <f t="shared" si="8"/>
        <v>Digital</v>
      </c>
    </row>
    <row r="156" spans="1:9" x14ac:dyDescent="0.3">
      <c r="A156" s="3">
        <v>46325</v>
      </c>
      <c r="B156" s="4" t="s">
        <v>7</v>
      </c>
      <c r="C156" s="4" t="s">
        <v>8</v>
      </c>
      <c r="D156" s="4">
        <v>26</v>
      </c>
      <c r="E156" s="14">
        <v>200</v>
      </c>
      <c r="F156" s="14">
        <f t="shared" si="6"/>
        <v>5200</v>
      </c>
      <c r="G156" s="4" t="s">
        <v>10</v>
      </c>
      <c r="H156" s="5" t="str">
        <f t="shared" si="7"/>
        <v>Not Eligible</v>
      </c>
      <c r="I156" s="4" t="str">
        <f t="shared" si="8"/>
        <v>Digital</v>
      </c>
    </row>
    <row r="157" spans="1:9" x14ac:dyDescent="0.3">
      <c r="A157" s="3">
        <v>46325</v>
      </c>
      <c r="B157" s="4" t="s">
        <v>7</v>
      </c>
      <c r="C157" s="4" t="s">
        <v>8</v>
      </c>
      <c r="D157" s="4">
        <v>3</v>
      </c>
      <c r="E157" s="14">
        <v>200</v>
      </c>
      <c r="F157" s="14">
        <f t="shared" si="6"/>
        <v>600</v>
      </c>
      <c r="G157" s="4" t="s">
        <v>10</v>
      </c>
      <c r="H157" s="5" t="str">
        <f t="shared" si="7"/>
        <v>Not Eligible</v>
      </c>
      <c r="I157" s="4" t="str">
        <f t="shared" si="8"/>
        <v>Digital</v>
      </c>
    </row>
    <row r="158" spans="1:9" x14ac:dyDescent="0.3">
      <c r="A158" s="3">
        <v>46325</v>
      </c>
      <c r="B158" s="4" t="s">
        <v>15</v>
      </c>
      <c r="C158" s="4" t="s">
        <v>8</v>
      </c>
      <c r="D158" s="4">
        <v>18</v>
      </c>
      <c r="E158" s="14">
        <v>160</v>
      </c>
      <c r="F158" s="14">
        <f t="shared" si="6"/>
        <v>2880</v>
      </c>
      <c r="G158" s="4" t="s">
        <v>10</v>
      </c>
      <c r="H158" s="5" t="str">
        <f t="shared" si="7"/>
        <v>Not Eligible</v>
      </c>
      <c r="I158" s="4" t="str">
        <f t="shared" si="8"/>
        <v>Digital</v>
      </c>
    </row>
    <row r="159" spans="1:9" x14ac:dyDescent="0.3">
      <c r="A159" s="3">
        <v>46325</v>
      </c>
      <c r="B159" s="4" t="s">
        <v>18</v>
      </c>
      <c r="C159" s="4" t="s">
        <v>8</v>
      </c>
      <c r="D159" s="4">
        <v>22</v>
      </c>
      <c r="E159" s="14">
        <v>220</v>
      </c>
      <c r="F159" s="14">
        <f t="shared" si="6"/>
        <v>4840</v>
      </c>
      <c r="G159" s="4" t="s">
        <v>9</v>
      </c>
      <c r="H159" s="5" t="str">
        <f t="shared" si="7"/>
        <v>Not Eligible</v>
      </c>
      <c r="I159" s="4" t="str">
        <f t="shared" si="8"/>
        <v>Digital</v>
      </c>
    </row>
    <row r="160" spans="1:9" x14ac:dyDescent="0.3">
      <c r="A160" s="3">
        <v>46325</v>
      </c>
      <c r="B160" s="4" t="s">
        <v>15</v>
      </c>
      <c r="C160" s="4" t="s">
        <v>8</v>
      </c>
      <c r="D160" s="4">
        <v>14</v>
      </c>
      <c r="E160" s="14">
        <v>160</v>
      </c>
      <c r="F160" s="14">
        <f t="shared" si="6"/>
        <v>2240</v>
      </c>
      <c r="G160" s="4" t="s">
        <v>13</v>
      </c>
      <c r="H160" s="5" t="str">
        <f t="shared" si="7"/>
        <v>Not Eligible</v>
      </c>
      <c r="I160" s="4" t="str">
        <f t="shared" si="8"/>
        <v>Cash</v>
      </c>
    </row>
    <row r="161" spans="1:9" x14ac:dyDescent="0.3">
      <c r="A161" s="3">
        <v>46325</v>
      </c>
      <c r="B161" s="4" t="s">
        <v>17</v>
      </c>
      <c r="C161" s="4" t="s">
        <v>8</v>
      </c>
      <c r="D161" s="4">
        <v>6</v>
      </c>
      <c r="E161" s="14">
        <v>120</v>
      </c>
      <c r="F161" s="14">
        <f t="shared" si="6"/>
        <v>720</v>
      </c>
      <c r="G161" s="4" t="s">
        <v>10</v>
      </c>
      <c r="H161" s="5" t="str">
        <f t="shared" si="7"/>
        <v>Not Eligible</v>
      </c>
      <c r="I161" s="4" t="str">
        <f t="shared" si="8"/>
        <v>Digital</v>
      </c>
    </row>
    <row r="162" spans="1:9" x14ac:dyDescent="0.3">
      <c r="A162" s="12"/>
      <c r="B162" s="6"/>
      <c r="C162" s="6"/>
      <c r="D162" s="6"/>
      <c r="E162" s="10"/>
      <c r="F162" s="10"/>
      <c r="G162" s="6"/>
      <c r="H162" s="6"/>
      <c r="I162" s="4" t="str">
        <f t="shared" si="8"/>
        <v xml:space="preserve"> </v>
      </c>
    </row>
    <row r="163" spans="1:9" x14ac:dyDescent="0.3">
      <c r="A163" s="6"/>
      <c r="B163" s="6"/>
      <c r="C163" s="6"/>
      <c r="D163" s="6"/>
      <c r="E163" s="10"/>
      <c r="F163" s="10"/>
      <c r="G163" s="6"/>
      <c r="H163" s="6"/>
    </row>
  </sheetData>
  <mergeCells count="1">
    <mergeCell ref="A1:V1"/>
  </mergeCells>
  <conditionalFormatting sqref="H1:H1048576">
    <cfRule type="cellIs" dxfId="230" priority="1" operator="equal">
      <formula>"Not Eligible"</formula>
    </cfRule>
    <cfRule type="cellIs" dxfId="229" priority="2" operator="equal">
      <formula>"Eligible"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F6CD6-19CB-473A-9D38-F475F1DAF12D}">
  <dimension ref="A1:V35"/>
  <sheetViews>
    <sheetView showGridLines="0" zoomScale="99" zoomScaleNormal="100" workbookViewId="0">
      <selection activeCell="J25" sqref="J25"/>
    </sheetView>
  </sheetViews>
  <sheetFormatPr defaultRowHeight="14.4" x14ac:dyDescent="0.3"/>
  <cols>
    <col min="1" max="1" width="14.88671875" customWidth="1"/>
    <col min="2" max="2" width="18.21875" style="11" customWidth="1"/>
    <col min="3" max="3" width="17.77734375" style="10" customWidth="1"/>
    <col min="4" max="4" width="20.33203125" style="6" customWidth="1"/>
    <col min="5" max="5" width="21" customWidth="1"/>
    <col min="6" max="6" width="23" style="6" customWidth="1"/>
    <col min="7" max="7" width="15.33203125" style="6" customWidth="1"/>
    <col min="8" max="8" width="17.21875" customWidth="1"/>
    <col min="9" max="9" width="27.77734375" customWidth="1"/>
    <col min="10" max="10" width="17.33203125" customWidth="1"/>
  </cols>
  <sheetData>
    <row r="1" spans="1:22" ht="21" x14ac:dyDescent="0.4">
      <c r="A1" s="44" t="s">
        <v>26</v>
      </c>
      <c r="B1" s="45"/>
      <c r="C1" s="45"/>
      <c r="D1" s="45"/>
      <c r="E1" s="45"/>
      <c r="F1" s="45"/>
      <c r="G1" s="45"/>
      <c r="H1" s="45"/>
      <c r="I1" s="45"/>
      <c r="J1" s="45"/>
      <c r="K1" s="45"/>
      <c r="L1" s="45"/>
      <c r="M1" s="45"/>
      <c r="N1" s="45"/>
      <c r="O1" s="45"/>
      <c r="P1" s="45"/>
      <c r="Q1" s="45"/>
      <c r="R1" s="45"/>
      <c r="S1" s="45"/>
      <c r="T1" s="45"/>
      <c r="U1" s="45"/>
      <c r="V1" s="45"/>
    </row>
    <row r="2" spans="1:22" s="2" customFormat="1" ht="15.6" x14ac:dyDescent="0.3">
      <c r="A2" s="1" t="s">
        <v>0</v>
      </c>
      <c r="B2" s="8" t="s">
        <v>5</v>
      </c>
      <c r="C2" s="13" t="s">
        <v>30</v>
      </c>
      <c r="D2" s="15" t="s">
        <v>31</v>
      </c>
      <c r="E2" s="1" t="s">
        <v>32</v>
      </c>
      <c r="F2" s="1" t="s">
        <v>33</v>
      </c>
      <c r="G2" s="1" t="s">
        <v>35</v>
      </c>
      <c r="H2" s="1"/>
    </row>
    <row r="3" spans="1:22" x14ac:dyDescent="0.3">
      <c r="A3" s="17">
        <v>46296</v>
      </c>
      <c r="B3" s="18">
        <f>SUMIF('Sales Register'!$A:$A, A3, 'Sales Register'!$F:$F)</f>
        <v>14520</v>
      </c>
      <c r="C3" s="18">
        <v>15000</v>
      </c>
      <c r="D3" s="16" t="str">
        <f>IF(B3&gt;=C3,"Target Met","Below Target")</f>
        <v>Below Target</v>
      </c>
      <c r="E3" s="16" t="str">
        <f>IF(B3&gt;=C3,"High Sale", IF(B3&gt;=8000,"Average Sale","Low Sale"))</f>
        <v>Average Sale</v>
      </c>
      <c r="F3" s="16">
        <f>COUNTIFS('Sales Register'!$A:$A,A3,'Sales Register'!$H:$H,"Eligible")</f>
        <v>1</v>
      </c>
      <c r="G3" s="16" t="str">
        <f>IF(B3=MAX($B$3:$B$32),"Peak Day", "-")</f>
        <v>-</v>
      </c>
    </row>
    <row r="4" spans="1:22" ht="15" thickBot="1" x14ac:dyDescent="0.35">
      <c r="A4" s="17">
        <v>46297</v>
      </c>
      <c r="B4" s="18">
        <f>SUMIF('Sales Register'!$A:$A, A4, 'Sales Register'!$F:$F)</f>
        <v>23460</v>
      </c>
      <c r="C4" s="18">
        <v>15000</v>
      </c>
      <c r="D4" s="16" t="str">
        <f t="shared" ref="D4:D32" si="0">IF(B4&gt;=C4,"Target Met","Below Target")</f>
        <v>Target Met</v>
      </c>
      <c r="E4" s="16" t="str">
        <f t="shared" ref="E4:E32" si="1">IF(B4&gt;=C4,"High Sale", IF(B4&gt;=8000,"Average Sale","Low Sale"))</f>
        <v>High Sale</v>
      </c>
      <c r="F4" s="16">
        <f>COUNTIFS('Sales Register'!$A:$A,A4,'Sales Register'!$H:$H,"Eligible")</f>
        <v>0</v>
      </c>
      <c r="G4" s="34" t="str">
        <f t="shared" ref="G4:G32" si="2">IF(B4=MAX($B$3:$B$32),"Peak Day", "-")</f>
        <v>-</v>
      </c>
    </row>
    <row r="5" spans="1:22" ht="18" x14ac:dyDescent="0.35">
      <c r="A5" s="17">
        <v>46298</v>
      </c>
      <c r="B5" s="18">
        <f>SUMIF('Sales Register'!$A:$A, A5, 'Sales Register'!$F:$F)</f>
        <v>17020</v>
      </c>
      <c r="C5" s="18">
        <v>15000</v>
      </c>
      <c r="D5" s="16" t="str">
        <f t="shared" si="0"/>
        <v>Target Met</v>
      </c>
      <c r="E5" s="16" t="str">
        <f t="shared" si="1"/>
        <v>High Sale</v>
      </c>
      <c r="F5" s="16">
        <f>COUNTIFS('Sales Register'!$A:$A,A5,'Sales Register'!$H:$H,"Eligible")</f>
        <v>0</v>
      </c>
      <c r="G5" s="16" t="str">
        <f t="shared" si="2"/>
        <v>-</v>
      </c>
      <c r="I5" s="46" t="s">
        <v>37</v>
      </c>
      <c r="J5" s="47"/>
    </row>
    <row r="6" spans="1:22" ht="16.2" thickBot="1" x14ac:dyDescent="0.35">
      <c r="A6" s="17">
        <v>46299</v>
      </c>
      <c r="B6" s="18">
        <f>SUMIF('Sales Register'!$A:$A, A6, 'Sales Register'!$F:$F)</f>
        <v>16500</v>
      </c>
      <c r="C6" s="18">
        <v>15000</v>
      </c>
      <c r="D6" s="16" t="str">
        <f t="shared" si="0"/>
        <v>Target Met</v>
      </c>
      <c r="E6" s="16" t="str">
        <f t="shared" si="1"/>
        <v>High Sale</v>
      </c>
      <c r="F6" s="16">
        <f>COUNTIFS('Sales Register'!$A:$A,A6,'Sales Register'!$H:$H,"Eligible")</f>
        <v>1</v>
      </c>
      <c r="G6" s="16" t="str">
        <f t="shared" si="2"/>
        <v>-</v>
      </c>
      <c r="I6" s="35" t="s">
        <v>38</v>
      </c>
      <c r="J6" s="42">
        <f>SUM(B3:B32)</f>
        <v>413010</v>
      </c>
    </row>
    <row r="7" spans="1:22" ht="15.6" x14ac:dyDescent="0.3">
      <c r="A7" s="17">
        <v>46300</v>
      </c>
      <c r="B7" s="18">
        <f>SUMIF('Sales Register'!$A:$A, A7, 'Sales Register'!$F:$F)</f>
        <v>13810</v>
      </c>
      <c r="C7" s="18">
        <v>15000</v>
      </c>
      <c r="D7" s="16" t="str">
        <f t="shared" si="0"/>
        <v>Below Target</v>
      </c>
      <c r="E7" s="16" t="str">
        <f t="shared" si="1"/>
        <v>Average Sale</v>
      </c>
      <c r="F7" s="16">
        <f>COUNTIFS('Sales Register'!$A:$A,A7,'Sales Register'!$H:$H,"Eligible")</f>
        <v>0</v>
      </c>
      <c r="G7" s="16" t="str">
        <f t="shared" si="2"/>
        <v>-</v>
      </c>
      <c r="I7" s="36" t="s">
        <v>39</v>
      </c>
      <c r="J7" s="43">
        <f>AVERAGE(B3:B32)</f>
        <v>13767</v>
      </c>
    </row>
    <row r="8" spans="1:22" ht="15.6" x14ac:dyDescent="0.3">
      <c r="A8" s="17">
        <v>46301</v>
      </c>
      <c r="B8" s="18">
        <f>SUMIF('Sales Register'!$A:$A, A8, 'Sales Register'!$F:$F)</f>
        <v>7850</v>
      </c>
      <c r="C8" s="18">
        <v>15000</v>
      </c>
      <c r="D8" s="16" t="str">
        <f t="shared" si="0"/>
        <v>Below Target</v>
      </c>
      <c r="E8" s="16" t="str">
        <f t="shared" si="1"/>
        <v>Low Sale</v>
      </c>
      <c r="F8" s="16">
        <f>COUNTIFS('Sales Register'!$A:$A,A8,'Sales Register'!$H:$H,"Eligible")</f>
        <v>0</v>
      </c>
      <c r="G8" s="16" t="str">
        <f t="shared" si="2"/>
        <v>-</v>
      </c>
      <c r="I8" s="36" t="s">
        <v>40</v>
      </c>
      <c r="J8" s="37">
        <f>COUNTA('Sales Register'!A3:A1000)</f>
        <v>159</v>
      </c>
    </row>
    <row r="9" spans="1:22" ht="15.6" x14ac:dyDescent="0.3">
      <c r="A9" s="17">
        <v>46302</v>
      </c>
      <c r="B9" s="18">
        <f>SUMIF('Sales Register'!$A:$A, A9, 'Sales Register'!$F:$F)</f>
        <v>6230</v>
      </c>
      <c r="C9" s="18">
        <v>15000</v>
      </c>
      <c r="D9" s="16" t="str">
        <f t="shared" si="0"/>
        <v>Below Target</v>
      </c>
      <c r="E9" s="16" t="str">
        <f t="shared" si="1"/>
        <v>Low Sale</v>
      </c>
      <c r="F9" s="16">
        <f>COUNTIFS('Sales Register'!$A:$A,A9,'Sales Register'!$H:$H,"Eligible")</f>
        <v>0</v>
      </c>
      <c r="G9" s="16" t="str">
        <f t="shared" si="2"/>
        <v>-</v>
      </c>
      <c r="I9" s="38" t="s">
        <v>41</v>
      </c>
      <c r="J9" s="39" t="str">
        <f>COUNTIF(D3:D32,"Target Met")&amp;" / "&amp;COUNTA(D3:D32)</f>
        <v>16 / 30</v>
      </c>
    </row>
    <row r="10" spans="1:22" ht="16.2" thickBot="1" x14ac:dyDescent="0.35">
      <c r="A10" s="17">
        <v>46303</v>
      </c>
      <c r="B10" s="18">
        <f>SUMIF('Sales Register'!$A:$A, A10, 'Sales Register'!$F:$F)</f>
        <v>17590</v>
      </c>
      <c r="C10" s="18">
        <v>15000</v>
      </c>
      <c r="D10" s="16" t="str">
        <f t="shared" si="0"/>
        <v>Target Met</v>
      </c>
      <c r="E10" s="16" t="str">
        <f t="shared" si="1"/>
        <v>High Sale</v>
      </c>
      <c r="F10" s="16">
        <f>COUNTIFS('Sales Register'!$A:$A,A10,'Sales Register'!$H:$H,"Eligible")</f>
        <v>0</v>
      </c>
      <c r="G10" s="16" t="str">
        <f t="shared" si="2"/>
        <v>-</v>
      </c>
      <c r="I10" s="40" t="s">
        <v>42</v>
      </c>
      <c r="J10" s="41">
        <f>COUNTIF(D3:D32,"Target Met")/COUNTA(D3:D32)</f>
        <v>0.53333333333333333</v>
      </c>
    </row>
    <row r="11" spans="1:22" x14ac:dyDescent="0.3">
      <c r="A11" s="17">
        <v>46304</v>
      </c>
      <c r="B11" s="18">
        <f>SUMIF('Sales Register'!$A:$A, A11, 'Sales Register'!$F:$F)</f>
        <v>20970</v>
      </c>
      <c r="C11" s="18">
        <v>15000</v>
      </c>
      <c r="D11" s="16" t="str">
        <f t="shared" si="0"/>
        <v>Target Met</v>
      </c>
      <c r="E11" s="16" t="str">
        <f t="shared" si="1"/>
        <v>High Sale</v>
      </c>
      <c r="F11" s="16">
        <f>COUNTIFS('Sales Register'!$A:$A,A11,'Sales Register'!$H:$H,"Eligible")</f>
        <v>2</v>
      </c>
      <c r="G11" s="16" t="str">
        <f t="shared" si="2"/>
        <v>-</v>
      </c>
      <c r="L11" t="s">
        <v>43</v>
      </c>
    </row>
    <row r="12" spans="1:22" x14ac:dyDescent="0.3">
      <c r="A12" s="17">
        <v>46305</v>
      </c>
      <c r="B12" s="18">
        <f>SUMIF('Sales Register'!$A:$A, A12, 'Sales Register'!$F:$F)</f>
        <v>16440</v>
      </c>
      <c r="C12" s="18">
        <v>15000</v>
      </c>
      <c r="D12" s="16" t="str">
        <f t="shared" si="0"/>
        <v>Target Met</v>
      </c>
      <c r="E12" s="16" t="str">
        <f t="shared" si="1"/>
        <v>High Sale</v>
      </c>
      <c r="F12" s="16">
        <f>COUNTIFS('Sales Register'!$A:$A,A12,'Sales Register'!$H:$H,"Eligible")</f>
        <v>0</v>
      </c>
      <c r="G12" s="16" t="str">
        <f t="shared" si="2"/>
        <v>-</v>
      </c>
    </row>
    <row r="13" spans="1:22" x14ac:dyDescent="0.3">
      <c r="A13" s="17">
        <v>46306</v>
      </c>
      <c r="B13" s="18">
        <f>SUMIF('Sales Register'!$A:$A, A13, 'Sales Register'!$F:$F)</f>
        <v>10030</v>
      </c>
      <c r="C13" s="18">
        <v>15000</v>
      </c>
      <c r="D13" s="16" t="str">
        <f t="shared" si="0"/>
        <v>Below Target</v>
      </c>
      <c r="E13" s="16" t="str">
        <f t="shared" si="1"/>
        <v>Average Sale</v>
      </c>
      <c r="F13" s="16">
        <f>COUNTIFS('Sales Register'!$A:$A,A13,'Sales Register'!$H:$H,"Eligible")</f>
        <v>1</v>
      </c>
      <c r="G13" s="16" t="str">
        <f t="shared" si="2"/>
        <v>-</v>
      </c>
    </row>
    <row r="14" spans="1:22" x14ac:dyDescent="0.3">
      <c r="A14" s="17">
        <v>46307</v>
      </c>
      <c r="B14" s="18">
        <f>SUMIF('Sales Register'!$A:$A, A14, 'Sales Register'!$F:$F)</f>
        <v>9040</v>
      </c>
      <c r="C14" s="18">
        <v>15000</v>
      </c>
      <c r="D14" s="16" t="str">
        <f t="shared" si="0"/>
        <v>Below Target</v>
      </c>
      <c r="E14" s="16" t="str">
        <f t="shared" si="1"/>
        <v>Average Sale</v>
      </c>
      <c r="F14" s="16">
        <f>COUNTIFS('Sales Register'!$A:$A,A14,'Sales Register'!$H:$H,"Eligible")</f>
        <v>0</v>
      </c>
      <c r="G14" s="16" t="str">
        <f t="shared" si="2"/>
        <v>-</v>
      </c>
    </row>
    <row r="15" spans="1:22" x14ac:dyDescent="0.3">
      <c r="A15" s="17">
        <v>46308</v>
      </c>
      <c r="B15" s="18">
        <f>SUMIF('Sales Register'!$A:$A, A15, 'Sales Register'!$F:$F)</f>
        <v>25760</v>
      </c>
      <c r="C15" s="18">
        <v>15000</v>
      </c>
      <c r="D15" s="16" t="str">
        <f t="shared" si="0"/>
        <v>Target Met</v>
      </c>
      <c r="E15" s="16" t="str">
        <f t="shared" si="1"/>
        <v>High Sale</v>
      </c>
      <c r="F15" s="16">
        <f>COUNTIFS('Sales Register'!$A:$A,A15,'Sales Register'!$H:$H,"Eligible")</f>
        <v>0</v>
      </c>
      <c r="G15" s="16" t="str">
        <f t="shared" si="2"/>
        <v>Peak Day</v>
      </c>
    </row>
    <row r="16" spans="1:22" x14ac:dyDescent="0.3">
      <c r="A16" s="17">
        <v>46309</v>
      </c>
      <c r="B16" s="18">
        <f>SUMIF('Sales Register'!$A:$A, A16, 'Sales Register'!$F:$F)</f>
        <v>7810</v>
      </c>
      <c r="C16" s="18">
        <v>15000</v>
      </c>
      <c r="D16" s="16" t="str">
        <f t="shared" si="0"/>
        <v>Below Target</v>
      </c>
      <c r="E16" s="16" t="str">
        <f t="shared" si="1"/>
        <v>Low Sale</v>
      </c>
      <c r="F16" s="16">
        <f>COUNTIFS('Sales Register'!$A:$A,A16,'Sales Register'!$H:$H,"Eligible")</f>
        <v>1</v>
      </c>
      <c r="G16" s="16" t="str">
        <f t="shared" si="2"/>
        <v>-</v>
      </c>
    </row>
    <row r="17" spans="1:8" x14ac:dyDescent="0.3">
      <c r="A17" s="17">
        <v>46310</v>
      </c>
      <c r="B17" s="18">
        <f>SUMIF('Sales Register'!$A:$A, A17, 'Sales Register'!$F:$F)</f>
        <v>13050</v>
      </c>
      <c r="C17" s="18">
        <v>15000</v>
      </c>
      <c r="D17" s="16" t="str">
        <f t="shared" si="0"/>
        <v>Below Target</v>
      </c>
      <c r="E17" s="16" t="str">
        <f t="shared" si="1"/>
        <v>Average Sale</v>
      </c>
      <c r="F17" s="16">
        <f>COUNTIFS('Sales Register'!$A:$A,A17,'Sales Register'!$H:$H,"Eligible")</f>
        <v>0</v>
      </c>
      <c r="G17" s="16" t="str">
        <f t="shared" si="2"/>
        <v>-</v>
      </c>
    </row>
    <row r="18" spans="1:8" x14ac:dyDescent="0.3">
      <c r="A18" s="17">
        <v>46311</v>
      </c>
      <c r="B18" s="18">
        <f>SUMIF('Sales Register'!$A:$A, A18, 'Sales Register'!$F:$F)</f>
        <v>19350</v>
      </c>
      <c r="C18" s="18">
        <v>15000</v>
      </c>
      <c r="D18" s="16" t="str">
        <f t="shared" si="0"/>
        <v>Target Met</v>
      </c>
      <c r="E18" s="16" t="str">
        <f t="shared" si="1"/>
        <v>High Sale</v>
      </c>
      <c r="F18" s="16">
        <f>COUNTIFS('Sales Register'!$A:$A,A18,'Sales Register'!$H:$H,"Eligible")</f>
        <v>0</v>
      </c>
      <c r="G18" s="16" t="str">
        <f t="shared" si="2"/>
        <v>-</v>
      </c>
      <c r="H18" t="s">
        <v>44</v>
      </c>
    </row>
    <row r="19" spans="1:8" x14ac:dyDescent="0.3">
      <c r="A19" s="17">
        <v>46312</v>
      </c>
      <c r="B19" s="18">
        <f>SUMIF('Sales Register'!$A:$A, A19, 'Sales Register'!$F:$F)</f>
        <v>16300</v>
      </c>
      <c r="C19" s="18">
        <v>15000</v>
      </c>
      <c r="D19" s="16" t="str">
        <f t="shared" si="0"/>
        <v>Target Met</v>
      </c>
      <c r="E19" s="16" t="str">
        <f t="shared" si="1"/>
        <v>High Sale</v>
      </c>
      <c r="F19" s="16">
        <f>COUNTIFS('Sales Register'!$A:$A,A19,'Sales Register'!$H:$H,"Eligible")</f>
        <v>0</v>
      </c>
      <c r="G19" s="16" t="str">
        <f t="shared" si="2"/>
        <v>-</v>
      </c>
    </row>
    <row r="20" spans="1:8" x14ac:dyDescent="0.3">
      <c r="A20" s="17">
        <v>46313</v>
      </c>
      <c r="B20" s="18">
        <f>SUMIF('Sales Register'!$A:$A, A20, 'Sales Register'!$F:$F)</f>
        <v>6190</v>
      </c>
      <c r="C20" s="18">
        <v>15000</v>
      </c>
      <c r="D20" s="16" t="str">
        <f t="shared" si="0"/>
        <v>Below Target</v>
      </c>
      <c r="E20" s="16" t="str">
        <f t="shared" si="1"/>
        <v>Low Sale</v>
      </c>
      <c r="F20" s="16">
        <f>COUNTIFS('Sales Register'!$A:$A,A20,'Sales Register'!$H:$H,"Eligible")</f>
        <v>0</v>
      </c>
      <c r="G20" s="16" t="str">
        <f t="shared" si="2"/>
        <v>-</v>
      </c>
    </row>
    <row r="21" spans="1:8" x14ac:dyDescent="0.3">
      <c r="A21" s="17">
        <v>46314</v>
      </c>
      <c r="B21" s="18">
        <f>SUMIF('Sales Register'!$A:$A, A21, 'Sales Register'!$F:$F)</f>
        <v>16810</v>
      </c>
      <c r="C21" s="18">
        <v>15000</v>
      </c>
      <c r="D21" s="16" t="str">
        <f t="shared" si="0"/>
        <v>Target Met</v>
      </c>
      <c r="E21" s="16" t="str">
        <f t="shared" si="1"/>
        <v>High Sale</v>
      </c>
      <c r="F21" s="16">
        <f>COUNTIFS('Sales Register'!$A:$A,A21,'Sales Register'!$H:$H,"Eligible")</f>
        <v>0</v>
      </c>
      <c r="G21" s="16" t="str">
        <f t="shared" si="2"/>
        <v>-</v>
      </c>
    </row>
    <row r="22" spans="1:8" x14ac:dyDescent="0.3">
      <c r="A22" s="17">
        <v>46315</v>
      </c>
      <c r="B22" s="18">
        <f>SUMIF('Sales Register'!$A:$A, A22, 'Sales Register'!$F:$F)</f>
        <v>15910</v>
      </c>
      <c r="C22" s="18">
        <v>15000</v>
      </c>
      <c r="D22" s="16" t="str">
        <f t="shared" si="0"/>
        <v>Target Met</v>
      </c>
      <c r="E22" s="16" t="str">
        <f t="shared" si="1"/>
        <v>High Sale</v>
      </c>
      <c r="F22" s="16">
        <f>COUNTIFS('Sales Register'!$A:$A,A22,'Sales Register'!$H:$H,"Eligible")</f>
        <v>0</v>
      </c>
      <c r="G22" s="16" t="str">
        <f t="shared" si="2"/>
        <v>-</v>
      </c>
    </row>
    <row r="23" spans="1:8" x14ac:dyDescent="0.3">
      <c r="A23" s="17">
        <v>46316</v>
      </c>
      <c r="B23" s="18">
        <f>SUMIF('Sales Register'!$A:$A, A23, 'Sales Register'!$F:$F)</f>
        <v>7990</v>
      </c>
      <c r="C23" s="18">
        <v>15000</v>
      </c>
      <c r="D23" s="16" t="str">
        <f t="shared" si="0"/>
        <v>Below Target</v>
      </c>
      <c r="E23" s="16" t="str">
        <f t="shared" si="1"/>
        <v>Low Sale</v>
      </c>
      <c r="F23" s="16">
        <f>COUNTIFS('Sales Register'!$A:$A,A23,'Sales Register'!$H:$H,"Eligible")</f>
        <v>0</v>
      </c>
      <c r="G23" s="16" t="str">
        <f t="shared" si="2"/>
        <v>-</v>
      </c>
    </row>
    <row r="24" spans="1:8" x14ac:dyDescent="0.3">
      <c r="A24" s="17">
        <v>46317</v>
      </c>
      <c r="B24" s="18">
        <f>SUMIF('Sales Register'!$A:$A, A24, 'Sales Register'!$F:$F)</f>
        <v>5560</v>
      </c>
      <c r="C24" s="18">
        <v>15000</v>
      </c>
      <c r="D24" s="16" t="str">
        <f t="shared" si="0"/>
        <v>Below Target</v>
      </c>
      <c r="E24" s="16" t="str">
        <f t="shared" si="1"/>
        <v>Low Sale</v>
      </c>
      <c r="F24" s="16">
        <f>COUNTIFS('Sales Register'!$A:$A,A24,'Sales Register'!$H:$H,"Eligible")</f>
        <v>0</v>
      </c>
      <c r="G24" s="16" t="str">
        <f t="shared" si="2"/>
        <v>-</v>
      </c>
    </row>
    <row r="25" spans="1:8" x14ac:dyDescent="0.3">
      <c r="A25" s="17">
        <v>46318</v>
      </c>
      <c r="B25" s="18">
        <f>SUMIF('Sales Register'!$A:$A, A25, 'Sales Register'!$F:$F)</f>
        <v>16240</v>
      </c>
      <c r="C25" s="18">
        <v>15000</v>
      </c>
      <c r="D25" s="16" t="str">
        <f t="shared" si="0"/>
        <v>Target Met</v>
      </c>
      <c r="E25" s="16" t="str">
        <f t="shared" si="1"/>
        <v>High Sale</v>
      </c>
      <c r="F25" s="16">
        <f>COUNTIFS('Sales Register'!$A:$A,A25,'Sales Register'!$H:$H,"Eligible")</f>
        <v>0</v>
      </c>
      <c r="G25" s="16" t="str">
        <f t="shared" si="2"/>
        <v>-</v>
      </c>
    </row>
    <row r="26" spans="1:8" x14ac:dyDescent="0.3">
      <c r="A26" s="17">
        <v>46319</v>
      </c>
      <c r="B26" s="18">
        <f>SUMIF('Sales Register'!$A:$A, A26, 'Sales Register'!$F:$F)</f>
        <v>15480</v>
      </c>
      <c r="C26" s="18">
        <v>15000</v>
      </c>
      <c r="D26" s="16" t="str">
        <f t="shared" si="0"/>
        <v>Target Met</v>
      </c>
      <c r="E26" s="16" t="str">
        <f t="shared" si="1"/>
        <v>High Sale</v>
      </c>
      <c r="F26" s="16">
        <f>COUNTIFS('Sales Register'!$A:$A,A26,'Sales Register'!$H:$H,"Eligible")</f>
        <v>0</v>
      </c>
      <c r="G26" s="16" t="str">
        <f t="shared" si="2"/>
        <v>-</v>
      </c>
    </row>
    <row r="27" spans="1:8" x14ac:dyDescent="0.3">
      <c r="A27" s="17">
        <v>46320</v>
      </c>
      <c r="B27" s="18">
        <f>SUMIF('Sales Register'!$A:$A, A27, 'Sales Register'!$F:$F)</f>
        <v>4180</v>
      </c>
      <c r="C27" s="18">
        <v>15000</v>
      </c>
      <c r="D27" s="16" t="str">
        <f t="shared" si="0"/>
        <v>Below Target</v>
      </c>
      <c r="E27" s="16" t="str">
        <f t="shared" si="1"/>
        <v>Low Sale</v>
      </c>
      <c r="F27" s="16">
        <f>COUNTIFS('Sales Register'!$A:$A,A27,'Sales Register'!$H:$H,"Eligible")</f>
        <v>0</v>
      </c>
      <c r="G27" s="16" t="str">
        <f t="shared" si="2"/>
        <v>-</v>
      </c>
    </row>
    <row r="28" spans="1:8" x14ac:dyDescent="0.3">
      <c r="A28" s="17">
        <v>46321</v>
      </c>
      <c r="B28" s="18">
        <f>SUMIF('Sales Register'!$A:$A, A28, 'Sales Register'!$F:$F)</f>
        <v>16550</v>
      </c>
      <c r="C28" s="18">
        <v>15000</v>
      </c>
      <c r="D28" s="16" t="str">
        <f t="shared" si="0"/>
        <v>Target Met</v>
      </c>
      <c r="E28" s="16" t="str">
        <f t="shared" si="1"/>
        <v>High Sale</v>
      </c>
      <c r="F28" s="16">
        <f>COUNTIFS('Sales Register'!$A:$A,A28,'Sales Register'!$H:$H,"Eligible")</f>
        <v>0</v>
      </c>
      <c r="G28" s="16" t="str">
        <f t="shared" si="2"/>
        <v>-</v>
      </c>
    </row>
    <row r="29" spans="1:8" x14ac:dyDescent="0.3">
      <c r="A29" s="17">
        <v>46322</v>
      </c>
      <c r="B29" s="18">
        <f>SUMIF('Sales Register'!$A:$A, A29, 'Sales Register'!$F:$F)</f>
        <v>7790</v>
      </c>
      <c r="C29" s="18">
        <v>15000</v>
      </c>
      <c r="D29" s="16" t="str">
        <f t="shared" si="0"/>
        <v>Below Target</v>
      </c>
      <c r="E29" s="16" t="str">
        <f t="shared" si="1"/>
        <v>Low Sale</v>
      </c>
      <c r="F29" s="16">
        <f>COUNTIFS('Sales Register'!$A:$A,A29,'Sales Register'!$H:$H,"Eligible")</f>
        <v>0</v>
      </c>
      <c r="G29" s="16" t="str">
        <f t="shared" si="2"/>
        <v>-</v>
      </c>
    </row>
    <row r="30" spans="1:8" x14ac:dyDescent="0.3">
      <c r="A30" s="17">
        <v>46323</v>
      </c>
      <c r="B30" s="18">
        <f>SUMIF('Sales Register'!$A:$A, A30, 'Sales Register'!$F:$F)</f>
        <v>16080</v>
      </c>
      <c r="C30" s="18">
        <v>15000</v>
      </c>
      <c r="D30" s="16" t="str">
        <f t="shared" si="0"/>
        <v>Target Met</v>
      </c>
      <c r="E30" s="16" t="str">
        <f t="shared" si="1"/>
        <v>High Sale</v>
      </c>
      <c r="F30" s="16">
        <f>COUNTIFS('Sales Register'!$A:$A,A30,'Sales Register'!$H:$H,"Eligible")</f>
        <v>0</v>
      </c>
      <c r="G30" s="16" t="str">
        <f t="shared" si="2"/>
        <v>-</v>
      </c>
    </row>
    <row r="31" spans="1:8" x14ac:dyDescent="0.3">
      <c r="A31" s="17">
        <v>46324</v>
      </c>
      <c r="B31" s="18">
        <f>SUMIF('Sales Register'!$A:$A, A31, 'Sales Register'!$F:$F)</f>
        <v>12020</v>
      </c>
      <c r="C31" s="18">
        <v>15000</v>
      </c>
      <c r="D31" s="16" t="str">
        <f t="shared" si="0"/>
        <v>Below Target</v>
      </c>
      <c r="E31" s="16" t="str">
        <f t="shared" si="1"/>
        <v>Average Sale</v>
      </c>
      <c r="F31" s="16">
        <f>COUNTIFS('Sales Register'!$A:$A,A31,'Sales Register'!$H:$H,"Eligible")</f>
        <v>1</v>
      </c>
      <c r="G31" s="16" t="str">
        <f t="shared" si="2"/>
        <v>-</v>
      </c>
    </row>
    <row r="32" spans="1:8" x14ac:dyDescent="0.3">
      <c r="A32" s="17">
        <v>46325</v>
      </c>
      <c r="B32" s="18">
        <f>SUMIF('Sales Register'!$A:$A, A32, 'Sales Register'!$F:$F)</f>
        <v>16480</v>
      </c>
      <c r="C32" s="18">
        <v>15000</v>
      </c>
      <c r="D32" s="16" t="str">
        <f t="shared" si="0"/>
        <v>Target Met</v>
      </c>
      <c r="E32" s="16" t="str">
        <f t="shared" si="1"/>
        <v>High Sale</v>
      </c>
      <c r="F32" s="16">
        <f>COUNTIFS('Sales Register'!$A:$A,A32,'Sales Register'!$H:$H,"Eligible")</f>
        <v>0</v>
      </c>
      <c r="G32" s="16" t="str">
        <f t="shared" si="2"/>
        <v>-</v>
      </c>
    </row>
    <row r="33" spans="1:1" x14ac:dyDescent="0.3">
      <c r="A33" s="3"/>
    </row>
    <row r="34" spans="1:1" x14ac:dyDescent="0.3">
      <c r="A34" s="3"/>
    </row>
    <row r="35" spans="1:1" x14ac:dyDescent="0.3">
      <c r="A35" s="3"/>
    </row>
  </sheetData>
  <mergeCells count="2">
    <mergeCell ref="A1:V1"/>
    <mergeCell ref="I5:J5"/>
  </mergeCells>
  <conditionalFormatting sqref="C1 E2:E32 C33:C1048576">
    <cfRule type="containsText" dxfId="228" priority="9" operator="containsText" text="Average Sale">
      <formula>NOT(ISERROR(SEARCH("Average Sale",C1)))</formula>
    </cfRule>
  </conditionalFormatting>
  <conditionalFormatting sqref="D1:D1048576">
    <cfRule type="containsText" dxfId="227" priority="5" operator="containsText" text="Target Met">
      <formula>NOT(ISERROR(SEARCH("Target Met",D1)))</formula>
    </cfRule>
    <cfRule type="containsText" dxfId="226" priority="6" operator="containsText" text="Below Target">
      <formula>NOT(ISERROR(SEARCH("Below Target",D1)))</formula>
    </cfRule>
  </conditionalFormatting>
  <conditionalFormatting sqref="E1:E1048576">
    <cfRule type="containsText" dxfId="225" priority="4" operator="containsText" text="High Sale">
      <formula>NOT(ISERROR(SEARCH("High Sale",E1)))</formula>
    </cfRule>
  </conditionalFormatting>
  <conditionalFormatting sqref="E2:E32 C1 C33:C1048576">
    <cfRule type="containsText" dxfId="224" priority="8" operator="containsText" text="Low Sale">
      <formula>NOT(ISERROR(SEARCH("Low Sale",C1)))</formula>
    </cfRule>
  </conditionalFormatting>
  <conditionalFormatting sqref="G2:G32">
    <cfRule type="cellIs" dxfId="223" priority="1" operator="equal">
      <formula>"Peak Day"</formula>
    </cfRule>
  </conditionalFormatting>
  <conditionalFormatting sqref="J10">
    <cfRule type="cellIs" dxfId="222" priority="2" operator="lessThan">
      <formula>0.5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2A2B-AFB4-4C7F-B67F-3AF4FCC53383}">
  <dimension ref="A1:O41"/>
  <sheetViews>
    <sheetView showGridLines="0" tabSelected="1" zoomScale="85" zoomScaleNormal="85" workbookViewId="0">
      <selection activeCell="R18" sqref="R18"/>
    </sheetView>
  </sheetViews>
  <sheetFormatPr defaultRowHeight="14.4" x14ac:dyDescent="0.3"/>
  <cols>
    <col min="1" max="1" width="13.44140625" bestFit="1" customWidth="1"/>
    <col min="2" max="2" width="20.33203125" bestFit="1" customWidth="1"/>
    <col min="3" max="3" width="4.44140625" customWidth="1"/>
    <col min="4" max="4" width="13.44140625" bestFit="1" customWidth="1"/>
    <col min="5" max="5" width="20.33203125" bestFit="1" customWidth="1"/>
    <col min="6" max="6" width="7.5546875" customWidth="1"/>
    <col min="7" max="7" width="15.109375" bestFit="1" customWidth="1"/>
    <col min="8" max="8" width="20.33203125" bestFit="1" customWidth="1"/>
    <col min="9" max="9" width="8.88671875" customWidth="1"/>
    <col min="11" max="11" width="13.109375" bestFit="1" customWidth="1"/>
    <col min="12" max="12" width="19.44140625" bestFit="1" customWidth="1"/>
    <col min="15" max="15" width="8.88671875" customWidth="1"/>
  </cols>
  <sheetData>
    <row r="1" spans="1:15" ht="30.6" customHeight="1" x14ac:dyDescent="0.3">
      <c r="A1" s="48" t="s">
        <v>36</v>
      </c>
      <c r="B1" s="49"/>
      <c r="C1" s="49"/>
      <c r="D1" s="49"/>
      <c r="E1" s="49"/>
      <c r="G1" s="48" t="s">
        <v>46</v>
      </c>
      <c r="H1" s="48"/>
      <c r="I1" s="48"/>
      <c r="J1" s="48"/>
      <c r="K1" s="48"/>
      <c r="L1" s="48"/>
      <c r="M1" s="48"/>
      <c r="N1" s="48"/>
      <c r="O1" s="48"/>
    </row>
    <row r="3" spans="1:15" x14ac:dyDescent="0.3">
      <c r="A3" s="25" t="s">
        <v>27</v>
      </c>
      <c r="B3" s="28" t="s">
        <v>29</v>
      </c>
      <c r="D3" s="25" t="s">
        <v>27</v>
      </c>
      <c r="E3" s="28" t="s">
        <v>29</v>
      </c>
    </row>
    <row r="4" spans="1:15" x14ac:dyDescent="0.3">
      <c r="A4" s="26" t="s">
        <v>12</v>
      </c>
      <c r="B4" s="22">
        <v>41970</v>
      </c>
      <c r="D4" s="26" t="s">
        <v>9</v>
      </c>
      <c r="E4" s="22">
        <v>115780</v>
      </c>
    </row>
    <row r="5" spans="1:15" x14ac:dyDescent="0.3">
      <c r="A5" s="19" t="s">
        <v>21</v>
      </c>
      <c r="B5" s="23">
        <v>9450</v>
      </c>
      <c r="D5" s="19" t="s">
        <v>13</v>
      </c>
      <c r="E5" s="23">
        <v>121850</v>
      </c>
    </row>
    <row r="6" spans="1:15" x14ac:dyDescent="0.3">
      <c r="A6" s="20" t="s">
        <v>8</v>
      </c>
      <c r="B6" s="23">
        <v>361590</v>
      </c>
      <c r="D6" s="20" t="s">
        <v>10</v>
      </c>
      <c r="E6" s="23">
        <v>175380</v>
      </c>
    </row>
    <row r="7" spans="1:15" x14ac:dyDescent="0.3">
      <c r="A7" s="27" t="s">
        <v>28</v>
      </c>
      <c r="B7" s="24">
        <v>413010</v>
      </c>
      <c r="D7" s="27" t="s">
        <v>28</v>
      </c>
      <c r="E7" s="24">
        <v>413010</v>
      </c>
    </row>
    <row r="10" spans="1:15" x14ac:dyDescent="0.3">
      <c r="A10" s="25" t="s">
        <v>27</v>
      </c>
      <c r="B10" s="28" t="s">
        <v>29</v>
      </c>
    </row>
    <row r="11" spans="1:15" x14ac:dyDescent="0.3">
      <c r="A11" s="29">
        <v>46296</v>
      </c>
      <c r="B11" s="22">
        <v>14520</v>
      </c>
    </row>
    <row r="12" spans="1:15" x14ac:dyDescent="0.3">
      <c r="A12" s="21">
        <v>46297</v>
      </c>
      <c r="B12" s="23">
        <v>23460</v>
      </c>
      <c r="D12" s="25" t="s">
        <v>27</v>
      </c>
      <c r="E12" s="28" t="s">
        <v>29</v>
      </c>
    </row>
    <row r="13" spans="1:15" x14ac:dyDescent="0.3">
      <c r="A13" s="21">
        <v>46298</v>
      </c>
      <c r="B13" s="23">
        <v>17020</v>
      </c>
      <c r="D13" s="26" t="s">
        <v>7</v>
      </c>
      <c r="E13" s="22">
        <v>134400</v>
      </c>
    </row>
    <row r="14" spans="1:15" ht="13.2" customHeight="1" x14ac:dyDescent="0.3">
      <c r="A14" s="21">
        <v>46299</v>
      </c>
      <c r="B14" s="23">
        <v>16500</v>
      </c>
      <c r="D14" s="19" t="s">
        <v>16</v>
      </c>
      <c r="E14" s="23">
        <v>92750</v>
      </c>
    </row>
    <row r="15" spans="1:15" ht="13.2" customHeight="1" x14ac:dyDescent="0.3">
      <c r="A15" s="21">
        <v>46300</v>
      </c>
      <c r="B15" s="23">
        <v>13810</v>
      </c>
      <c r="D15" s="19" t="s">
        <v>18</v>
      </c>
      <c r="E15" s="23">
        <v>58080</v>
      </c>
      <c r="G15" s="32"/>
      <c r="H15" s="33"/>
    </row>
    <row r="16" spans="1:15" ht="15" customHeight="1" x14ac:dyDescent="0.3">
      <c r="A16" s="21">
        <v>46301</v>
      </c>
      <c r="B16" s="23">
        <v>7850</v>
      </c>
      <c r="D16" s="19" t="s">
        <v>15</v>
      </c>
      <c r="E16" s="23">
        <v>41440</v>
      </c>
      <c r="G16" s="33"/>
      <c r="H16" s="33"/>
    </row>
    <row r="17" spans="1:5" x14ac:dyDescent="0.3">
      <c r="A17" s="21">
        <v>46302</v>
      </c>
      <c r="B17" s="23">
        <v>6230</v>
      </c>
      <c r="D17" s="20" t="s">
        <v>11</v>
      </c>
      <c r="E17" s="23">
        <v>22400</v>
      </c>
    </row>
    <row r="18" spans="1:5" x14ac:dyDescent="0.3">
      <c r="A18" s="21">
        <v>46303</v>
      </c>
      <c r="B18" s="23">
        <v>17590</v>
      </c>
      <c r="D18" s="27" t="s">
        <v>28</v>
      </c>
      <c r="E18" s="24">
        <v>349070</v>
      </c>
    </row>
    <row r="19" spans="1:5" x14ac:dyDescent="0.3">
      <c r="A19" s="21">
        <v>46304</v>
      </c>
      <c r="B19" s="23">
        <v>20970</v>
      </c>
    </row>
    <row r="20" spans="1:5" x14ac:dyDescent="0.3">
      <c r="A20" s="21">
        <v>46305</v>
      </c>
      <c r="B20" s="23">
        <v>16440</v>
      </c>
    </row>
    <row r="21" spans="1:5" x14ac:dyDescent="0.3">
      <c r="A21" s="21">
        <v>46306</v>
      </c>
      <c r="B21" s="23">
        <v>10030</v>
      </c>
    </row>
    <row r="22" spans="1:5" x14ac:dyDescent="0.3">
      <c r="A22" s="21">
        <v>46307</v>
      </c>
      <c r="B22" s="23">
        <v>9040</v>
      </c>
    </row>
    <row r="23" spans="1:5" x14ac:dyDescent="0.3">
      <c r="A23" s="21">
        <v>46308</v>
      </c>
      <c r="B23" s="23">
        <v>25760</v>
      </c>
    </row>
    <row r="24" spans="1:5" x14ac:dyDescent="0.3">
      <c r="A24" s="21">
        <v>46309</v>
      </c>
      <c r="B24" s="23">
        <v>7810</v>
      </c>
    </row>
    <row r="25" spans="1:5" x14ac:dyDescent="0.3">
      <c r="A25" s="21">
        <v>46310</v>
      </c>
      <c r="B25" s="23">
        <v>13050</v>
      </c>
    </row>
    <row r="26" spans="1:5" x14ac:dyDescent="0.3">
      <c r="A26" s="21">
        <v>46311</v>
      </c>
      <c r="B26" s="23">
        <v>19350</v>
      </c>
    </row>
    <row r="27" spans="1:5" x14ac:dyDescent="0.3">
      <c r="A27" s="21">
        <v>46312</v>
      </c>
      <c r="B27" s="23">
        <v>16300</v>
      </c>
    </row>
    <row r="28" spans="1:5" x14ac:dyDescent="0.3">
      <c r="A28" s="21">
        <v>46313</v>
      </c>
      <c r="B28" s="23">
        <v>6190</v>
      </c>
    </row>
    <row r="29" spans="1:5" x14ac:dyDescent="0.3">
      <c r="A29" s="21">
        <v>46314</v>
      </c>
      <c r="B29" s="23">
        <v>16810</v>
      </c>
    </row>
    <row r="30" spans="1:5" x14ac:dyDescent="0.3">
      <c r="A30" s="21">
        <v>46315</v>
      </c>
      <c r="B30" s="23">
        <v>15910</v>
      </c>
    </row>
    <row r="31" spans="1:5" x14ac:dyDescent="0.3">
      <c r="A31" s="21">
        <v>46316</v>
      </c>
      <c r="B31" s="23">
        <v>7990</v>
      </c>
    </row>
    <row r="32" spans="1:5" x14ac:dyDescent="0.3">
      <c r="A32" s="21">
        <v>46317</v>
      </c>
      <c r="B32" s="23">
        <v>5560</v>
      </c>
    </row>
    <row r="33" spans="1:2" x14ac:dyDescent="0.3">
      <c r="A33" s="21">
        <v>46318</v>
      </c>
      <c r="B33" s="23">
        <v>16240</v>
      </c>
    </row>
    <row r="34" spans="1:2" x14ac:dyDescent="0.3">
      <c r="A34" s="21">
        <v>46319</v>
      </c>
      <c r="B34" s="23">
        <v>15480</v>
      </c>
    </row>
    <row r="35" spans="1:2" x14ac:dyDescent="0.3">
      <c r="A35" s="21">
        <v>46320</v>
      </c>
      <c r="B35" s="23">
        <v>4180</v>
      </c>
    </row>
    <row r="36" spans="1:2" x14ac:dyDescent="0.3">
      <c r="A36" s="21">
        <v>46321</v>
      </c>
      <c r="B36" s="23">
        <v>16550</v>
      </c>
    </row>
    <row r="37" spans="1:2" x14ac:dyDescent="0.3">
      <c r="A37" s="21">
        <v>46322</v>
      </c>
      <c r="B37" s="23">
        <v>7790</v>
      </c>
    </row>
    <row r="38" spans="1:2" x14ac:dyDescent="0.3">
      <c r="A38" s="21">
        <v>46323</v>
      </c>
      <c r="B38" s="23">
        <v>16080</v>
      </c>
    </row>
    <row r="39" spans="1:2" x14ac:dyDescent="0.3">
      <c r="A39" s="21">
        <v>46324</v>
      </c>
      <c r="B39" s="23">
        <v>12020</v>
      </c>
    </row>
    <row r="40" spans="1:2" x14ac:dyDescent="0.3">
      <c r="A40" s="30">
        <v>46325</v>
      </c>
      <c r="B40" s="23">
        <v>16480</v>
      </c>
    </row>
    <row r="41" spans="1:2" x14ac:dyDescent="0.3">
      <c r="A41" s="31" t="s">
        <v>28</v>
      </c>
      <c r="B41" s="24">
        <v>413010</v>
      </c>
    </row>
  </sheetData>
  <mergeCells count="2">
    <mergeCell ref="A1:E1"/>
    <mergeCell ref="G1:O1"/>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Register</vt:lpstr>
      <vt:lpstr>Daily Summary</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Tamizh Chemmal</dc:creator>
  <cp:lastModifiedBy>Tamizh Chemmal</cp:lastModifiedBy>
  <dcterms:created xsi:type="dcterms:W3CDTF">2026-10-15T09:41:23Z</dcterms:created>
  <dcterms:modified xsi:type="dcterms:W3CDTF">2026-10-22T10:30:53Z</dcterms:modified>
</cp:coreProperties>
</file>